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mc:AlternateContent xmlns:mc="http://schemas.openxmlformats.org/markup-compatibility/2006">
    <mc:Choice Requires="x15">
      <x15ac:absPath xmlns:x15ac="http://schemas.microsoft.com/office/spreadsheetml/2010/11/ac" url="https://marlincorp-my.sharepoint.com/personal/clmorgan_peacsolutions_com/Documents/"/>
    </mc:Choice>
  </mc:AlternateContent>
  <xr:revisionPtr revIDLastSave="0" documentId="8_{47470CD8-02A5-4D11-8D2A-7AD3CF6E5D0F}" xr6:coauthVersionLast="47" xr6:coauthVersionMax="47" xr10:uidLastSave="{00000000-0000-0000-0000-000000000000}"/>
  <bookViews>
    <workbookView xWindow="13710" yWindow="-16320" windowWidth="29040" windowHeight="15720" xr2:uid="{00000000-000D-0000-FFFF-FFFF00000000}"/>
  </bookViews>
  <sheets>
    <sheet name="Working Capital " sheetId="1" r:id="rId1"/>
  </sheets>
  <definedNames>
    <definedName name="_xlnm._FilterDatabase" localSheetId="0" hidden="1">'Working Capital '!$A$4:$B$7</definedName>
    <definedName name="Beginning_Balance">-FV(Interest_Rate/12,Payment_Number-1,-Monthly_Payment,Loan_Amount)</definedName>
    <definedName name="Ending_Balance">-FV(Interest_Rate/12,Payment_Number,-Monthly_Payment,Loan_Amount)</definedName>
    <definedName name="Header_Row">ROW('Working Capital '!$13:$13)</definedName>
    <definedName name="Interest">-IPMT(Interest_Rate/12,Payment_Number,Number_of_Payments,Loan_Amount)</definedName>
    <definedName name="Interest_Rate">'Working Capital '!$D$4</definedName>
    <definedName name="Loan_Amount">'Working Capital '!$D$3</definedName>
    <definedName name="Loan_Not_Paid">IF(Payment_Number&lt;=Number_of_Payments,1,0)</definedName>
    <definedName name="Loan_Start">'Working Capital '!$D$6</definedName>
    <definedName name="Loan_Years">'Working Capital '!$D$5</definedName>
    <definedName name="Monthly_Payment">-PMT(Interest_Rate/12,Number_of_Payments,Loan_Amount)</definedName>
    <definedName name="Number_of_Payments">'Working Capital '!$D$9</definedName>
    <definedName name="Payment_Date">DATE(YEAR(Loan_Start),MONTH(Loan_Start)+Payment_Number,DAY(Loan_Start))</definedName>
    <definedName name="Payment_Number">ROW()-Header_Row</definedName>
    <definedName name="Principal">-PPMT(Interest_Rate/12,Payment_Number,Number_of_Payments,Loan_Amount)</definedName>
    <definedName name="Total_Cost">'Working Capital '!$D$11</definedName>
    <definedName name="Values_Entered">IF(Loan_Amount*Interest_Rate*Loan_Years*Loan_Start&gt;0,1,0)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A46" i="1"/>
  <c r="B44" i="1"/>
  <c r="F44" i="1"/>
  <c r="C44" i="1"/>
  <c r="B39" i="1"/>
  <c r="B38" i="1"/>
  <c r="B36" i="1"/>
  <c r="B35" i="1"/>
  <c r="A15" i="1"/>
  <c r="B7" i="1"/>
  <c r="E15" i="1"/>
  <c r="F15" i="1"/>
  <c r="G15" i="1" s="1"/>
  <c r="H15" i="1"/>
  <c r="A16" i="1"/>
  <c r="E16" i="1"/>
  <c r="F16" i="1"/>
  <c r="G16" i="1"/>
  <c r="H16" i="1"/>
  <c r="A17" i="1"/>
  <c r="E17" i="1"/>
  <c r="F17" i="1"/>
  <c r="G17" i="1"/>
  <c r="H17" i="1"/>
  <c r="A18" i="1"/>
  <c r="E18" i="1"/>
  <c r="F18" i="1"/>
  <c r="G18" i="1"/>
  <c r="H18" i="1"/>
  <c r="A19" i="1"/>
  <c r="E19" i="1"/>
  <c r="F19" i="1"/>
  <c r="G19" i="1"/>
  <c r="H19" i="1"/>
  <c r="A20" i="1"/>
  <c r="E20" i="1"/>
  <c r="F20" i="1"/>
  <c r="G20" i="1"/>
  <c r="H20" i="1"/>
  <c r="A21" i="1"/>
  <c r="E21" i="1"/>
  <c r="F21" i="1"/>
  <c r="G21" i="1"/>
  <c r="H21" i="1"/>
  <c r="A22" i="1"/>
  <c r="E22" i="1"/>
  <c r="F22" i="1"/>
  <c r="G22" i="1"/>
  <c r="H22" i="1"/>
  <c r="A23" i="1"/>
  <c r="E23" i="1"/>
  <c r="F23" i="1"/>
  <c r="G23" i="1"/>
  <c r="H23" i="1"/>
  <c r="E14" i="1"/>
  <c r="B11" i="1"/>
  <c r="A14" i="1"/>
  <c r="B41" i="1" l="1"/>
  <c r="C46" i="1"/>
  <c r="C45" i="1"/>
  <c r="G44" i="1"/>
  <c r="C47" i="1"/>
  <c r="A47" i="1"/>
  <c r="B45" i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C14" i="1"/>
  <c r="C15" i="1"/>
  <c r="C16" i="1"/>
  <c r="C17" i="1"/>
  <c r="C18" i="1"/>
  <c r="C19" i="1"/>
  <c r="C20" i="1"/>
  <c r="C21" i="1"/>
  <c r="C22" i="1"/>
  <c r="C23" i="1"/>
  <c r="F14" i="1"/>
  <c r="H14" i="1" s="1"/>
  <c r="C48" i="1" l="1"/>
  <c r="A48" i="1"/>
  <c r="G14" i="1"/>
  <c r="C49" i="1" l="1"/>
  <c r="A49" i="1"/>
  <c r="C50" i="1" l="1"/>
  <c r="A50" i="1"/>
  <c r="C51" i="1" l="1"/>
  <c r="A51" i="1"/>
  <c r="C52" i="1" l="1"/>
  <c r="A52" i="1"/>
  <c r="C53" i="1" l="1"/>
  <c r="A53" i="1"/>
  <c r="C54" i="1" l="1"/>
  <c r="A54" i="1"/>
  <c r="C55" i="1" l="1"/>
  <c r="A55" i="1"/>
  <c r="C56" i="1" l="1"/>
  <c r="A56" i="1"/>
  <c r="C57" i="1" l="1"/>
  <c r="A57" i="1"/>
  <c r="C58" i="1" l="1"/>
  <c r="A58" i="1"/>
  <c r="C59" i="1" l="1"/>
  <c r="A59" i="1"/>
  <c r="C60" i="1" l="1"/>
  <c r="A60" i="1"/>
  <c r="C61" i="1" l="1"/>
  <c r="A61" i="1"/>
  <c r="C62" i="1" l="1"/>
  <c r="A62" i="1"/>
  <c r="C63" i="1" l="1"/>
  <c r="A63" i="1"/>
  <c r="C64" i="1" l="1"/>
  <c r="A64" i="1"/>
  <c r="C65" i="1" l="1"/>
  <c r="A65" i="1"/>
  <c r="C66" i="1" l="1"/>
  <c r="A66" i="1"/>
  <c r="C67" i="1" l="1"/>
  <c r="A67" i="1"/>
  <c r="C68" i="1" l="1"/>
  <c r="A68" i="1"/>
  <c r="C69" i="1" l="1"/>
  <c r="A69" i="1"/>
  <c r="C70" i="1" l="1"/>
  <c r="A70" i="1"/>
  <c r="C71" i="1" l="1"/>
  <c r="A71" i="1"/>
  <c r="C72" i="1" l="1"/>
  <c r="A72" i="1"/>
  <c r="C73" i="1" l="1"/>
  <c r="A73" i="1"/>
  <c r="C74" i="1" l="1"/>
  <c r="A74" i="1"/>
  <c r="C75" i="1" l="1"/>
  <c r="A75" i="1"/>
  <c r="C76" i="1" l="1"/>
  <c r="A76" i="1"/>
  <c r="C77" i="1" l="1"/>
  <c r="A77" i="1"/>
  <c r="C78" i="1" l="1"/>
  <c r="A78" i="1"/>
  <c r="C79" i="1" l="1"/>
  <c r="A79" i="1"/>
  <c r="C80" i="1" l="1"/>
  <c r="A80" i="1"/>
  <c r="C81" i="1" l="1"/>
  <c r="A81" i="1"/>
  <c r="C82" i="1" l="1"/>
  <c r="A82" i="1"/>
  <c r="C83" i="1" l="1"/>
  <c r="A83" i="1"/>
  <c r="C84" i="1" l="1"/>
  <c r="A84" i="1"/>
  <c r="C85" i="1" l="1"/>
  <c r="A85" i="1"/>
  <c r="C86" i="1" l="1"/>
  <c r="A86" i="1"/>
  <c r="C87" i="1" l="1"/>
  <c r="A87" i="1"/>
  <c r="C88" i="1" l="1"/>
  <c r="A88" i="1"/>
  <c r="C89" i="1" l="1"/>
  <c r="A89" i="1"/>
  <c r="C90" i="1" l="1"/>
  <c r="A90" i="1"/>
  <c r="C91" i="1" l="1"/>
  <c r="A91" i="1"/>
  <c r="C92" i="1" l="1"/>
  <c r="A92" i="1"/>
  <c r="C93" i="1" l="1"/>
  <c r="A93" i="1"/>
  <c r="C94" i="1" l="1"/>
  <c r="A94" i="1"/>
  <c r="C95" i="1" l="1"/>
  <c r="A95" i="1"/>
  <c r="C96" i="1" l="1"/>
  <c r="A96" i="1"/>
  <c r="C97" i="1" l="1"/>
  <c r="A97" i="1"/>
  <c r="C98" i="1" l="1"/>
  <c r="A98" i="1"/>
  <c r="C99" i="1" l="1"/>
  <c r="A99" i="1"/>
  <c r="C100" i="1" l="1"/>
  <c r="A100" i="1"/>
  <c r="C101" i="1" l="1"/>
  <c r="A101" i="1"/>
  <c r="C102" i="1" l="1"/>
  <c r="A102" i="1"/>
  <c r="C103" i="1" l="1"/>
  <c r="A103" i="1"/>
  <c r="C104" i="1" l="1"/>
  <c r="A104" i="1"/>
  <c r="C105" i="1" l="1"/>
  <c r="A105" i="1"/>
  <c r="C106" i="1" l="1"/>
  <c r="A106" i="1"/>
  <c r="C107" i="1" l="1"/>
  <c r="A107" i="1"/>
  <c r="C108" i="1" l="1"/>
  <c r="A108" i="1"/>
  <c r="C109" i="1" l="1"/>
  <c r="A109" i="1"/>
  <c r="C110" i="1" l="1"/>
  <c r="A110" i="1"/>
  <c r="C111" i="1" l="1"/>
  <c r="A111" i="1"/>
  <c r="C112" i="1" l="1"/>
  <c r="A112" i="1"/>
  <c r="C113" i="1" l="1"/>
  <c r="A113" i="1"/>
  <c r="C114" i="1" l="1"/>
  <c r="A114" i="1"/>
  <c r="C115" i="1" l="1"/>
  <c r="A115" i="1"/>
  <c r="C116" i="1" l="1"/>
  <c r="A116" i="1"/>
  <c r="C117" i="1" l="1"/>
  <c r="A117" i="1"/>
  <c r="C118" i="1" l="1"/>
  <c r="A118" i="1"/>
  <c r="C119" i="1" l="1"/>
  <c r="A119" i="1"/>
  <c r="C120" i="1" l="1"/>
  <c r="A120" i="1"/>
  <c r="C121" i="1" l="1"/>
  <c r="A121" i="1"/>
  <c r="C122" i="1" l="1"/>
  <c r="A122" i="1"/>
  <c r="B37" i="1" l="1"/>
  <c r="D45" i="1" s="1"/>
  <c r="E45" i="1" s="1"/>
  <c r="F45" i="1" s="1"/>
  <c r="D46" i="1" l="1"/>
  <c r="E46" i="1" s="1"/>
  <c r="F46" i="1" s="1"/>
  <c r="G46" i="1" s="1"/>
  <c r="G45" i="1"/>
  <c r="D47" i="1"/>
  <c r="E47" i="1" s="1"/>
  <c r="F47" i="1"/>
  <c r="G47" i="1" s="1"/>
  <c r="D48" i="1" l="1"/>
  <c r="E48" i="1" s="1"/>
  <c r="F48" i="1" s="1"/>
  <c r="G48" i="1" l="1"/>
  <c r="D49" i="1"/>
  <c r="E49" i="1" s="1"/>
  <c r="F49" i="1" l="1"/>
  <c r="G49" i="1" s="1"/>
  <c r="D50" i="1"/>
  <c r="E50" i="1" s="1"/>
  <c r="F50" i="1" s="1"/>
  <c r="G50" i="1" s="1"/>
  <c r="D51" i="1" l="1"/>
  <c r="E51" i="1" s="1"/>
  <c r="F51" i="1" s="1"/>
  <c r="D52" i="1" l="1"/>
  <c r="E52" i="1" s="1"/>
  <c r="F52" i="1" s="1"/>
  <c r="G51" i="1"/>
  <c r="D53" i="1" l="1"/>
  <c r="E53" i="1" s="1"/>
  <c r="F53" i="1" s="1"/>
  <c r="G52" i="1"/>
  <c r="D54" i="1" l="1"/>
  <c r="E54" i="1" s="1"/>
  <c r="F54" i="1" s="1"/>
  <c r="G53" i="1"/>
  <c r="D55" i="1" l="1"/>
  <c r="E55" i="1" s="1"/>
  <c r="F55" i="1" s="1"/>
  <c r="G54" i="1"/>
  <c r="D56" i="1" l="1"/>
  <c r="E56" i="1" s="1"/>
  <c r="F56" i="1" s="1"/>
  <c r="G55" i="1"/>
  <c r="D57" i="1" l="1"/>
  <c r="E57" i="1" s="1"/>
  <c r="F57" i="1" s="1"/>
  <c r="G56" i="1"/>
  <c r="D58" i="1" l="1"/>
  <c r="E58" i="1" s="1"/>
  <c r="F58" i="1" s="1"/>
  <c r="G57" i="1"/>
  <c r="D59" i="1" l="1"/>
  <c r="E59" i="1" s="1"/>
  <c r="F59" i="1" s="1"/>
  <c r="G58" i="1"/>
  <c r="D60" i="1" l="1"/>
  <c r="E60" i="1" s="1"/>
  <c r="F60" i="1" s="1"/>
  <c r="G59" i="1"/>
  <c r="D61" i="1" l="1"/>
  <c r="E61" i="1" s="1"/>
  <c r="F61" i="1" s="1"/>
  <c r="G60" i="1"/>
  <c r="D62" i="1" l="1"/>
  <c r="E62" i="1" s="1"/>
  <c r="F62" i="1" s="1"/>
  <c r="G61" i="1"/>
  <c r="D63" i="1" l="1"/>
  <c r="E63" i="1" s="1"/>
  <c r="F63" i="1" s="1"/>
  <c r="G62" i="1"/>
  <c r="D64" i="1" l="1"/>
  <c r="E64" i="1" s="1"/>
  <c r="F64" i="1" s="1"/>
  <c r="G63" i="1"/>
  <c r="D65" i="1" l="1"/>
  <c r="E65" i="1" s="1"/>
  <c r="F65" i="1" s="1"/>
  <c r="G64" i="1"/>
  <c r="D66" i="1" l="1"/>
  <c r="E66" i="1" s="1"/>
  <c r="F66" i="1" s="1"/>
  <c r="G65" i="1"/>
  <c r="D67" i="1" l="1"/>
  <c r="E67" i="1" s="1"/>
  <c r="F67" i="1" s="1"/>
  <c r="G66" i="1"/>
  <c r="D68" i="1" l="1"/>
  <c r="E68" i="1" s="1"/>
  <c r="F68" i="1" s="1"/>
  <c r="G67" i="1"/>
  <c r="D69" i="1" l="1"/>
  <c r="E69" i="1" s="1"/>
  <c r="F69" i="1" s="1"/>
  <c r="G68" i="1"/>
  <c r="D70" i="1" l="1"/>
  <c r="E70" i="1" s="1"/>
  <c r="F70" i="1" s="1"/>
  <c r="G69" i="1"/>
  <c r="G70" i="1" l="1"/>
  <c r="D71" i="1"/>
  <c r="E71" i="1" s="1"/>
  <c r="F71" i="1" s="1"/>
  <c r="G71" i="1" l="1"/>
  <c r="D72" i="1"/>
  <c r="E72" i="1" s="1"/>
  <c r="F72" i="1" s="1"/>
  <c r="D73" i="1" l="1"/>
  <c r="E73" i="1" s="1"/>
  <c r="F73" i="1" s="1"/>
  <c r="G72" i="1"/>
  <c r="D74" i="1" l="1"/>
  <c r="E74" i="1" s="1"/>
  <c r="F74" i="1" s="1"/>
  <c r="G73" i="1"/>
  <c r="D75" i="1" l="1"/>
  <c r="E75" i="1" s="1"/>
  <c r="F75" i="1" s="1"/>
  <c r="G74" i="1"/>
  <c r="D76" i="1" l="1"/>
  <c r="E76" i="1" s="1"/>
  <c r="F76" i="1" s="1"/>
  <c r="G75" i="1"/>
  <c r="D77" i="1" l="1"/>
  <c r="E77" i="1" s="1"/>
  <c r="F77" i="1" s="1"/>
  <c r="G76" i="1"/>
  <c r="D78" i="1" l="1"/>
  <c r="E78" i="1" s="1"/>
  <c r="F78" i="1" s="1"/>
  <c r="G77" i="1"/>
  <c r="D79" i="1" l="1"/>
  <c r="E79" i="1" s="1"/>
  <c r="F79" i="1" s="1"/>
  <c r="G78" i="1"/>
  <c r="D80" i="1" l="1"/>
  <c r="E80" i="1" s="1"/>
  <c r="F80" i="1" s="1"/>
  <c r="G79" i="1"/>
  <c r="D81" i="1" l="1"/>
  <c r="E81" i="1" s="1"/>
  <c r="F81" i="1" s="1"/>
  <c r="G80" i="1"/>
  <c r="D82" i="1" l="1"/>
  <c r="E82" i="1" s="1"/>
  <c r="F82" i="1" s="1"/>
  <c r="G81" i="1"/>
  <c r="D83" i="1" l="1"/>
  <c r="E83" i="1" s="1"/>
  <c r="F83" i="1" s="1"/>
  <c r="G82" i="1"/>
  <c r="D84" i="1" l="1"/>
  <c r="E84" i="1" s="1"/>
  <c r="F84" i="1" s="1"/>
  <c r="G83" i="1"/>
  <c r="D85" i="1" l="1"/>
  <c r="E85" i="1" s="1"/>
  <c r="F85" i="1" s="1"/>
  <c r="G84" i="1"/>
  <c r="D86" i="1" l="1"/>
  <c r="E86" i="1" s="1"/>
  <c r="F86" i="1" s="1"/>
  <c r="G85" i="1"/>
  <c r="D87" i="1" l="1"/>
  <c r="E87" i="1" s="1"/>
  <c r="F87" i="1" s="1"/>
  <c r="G86" i="1"/>
  <c r="D88" i="1" l="1"/>
  <c r="E88" i="1" s="1"/>
  <c r="F88" i="1" s="1"/>
  <c r="G87" i="1"/>
  <c r="D89" i="1" l="1"/>
  <c r="E89" i="1" s="1"/>
  <c r="F89" i="1" s="1"/>
  <c r="G88" i="1"/>
  <c r="D90" i="1" l="1"/>
  <c r="E90" i="1" s="1"/>
  <c r="F90" i="1" s="1"/>
  <c r="G89" i="1"/>
  <c r="D91" i="1" l="1"/>
  <c r="E91" i="1" s="1"/>
  <c r="F91" i="1" s="1"/>
  <c r="G90" i="1"/>
  <c r="D92" i="1" l="1"/>
  <c r="E92" i="1" s="1"/>
  <c r="F92" i="1" s="1"/>
  <c r="G91" i="1"/>
  <c r="D93" i="1" l="1"/>
  <c r="E93" i="1" s="1"/>
  <c r="F93" i="1" s="1"/>
  <c r="G92" i="1"/>
  <c r="D94" i="1" l="1"/>
  <c r="E94" i="1" s="1"/>
  <c r="F94" i="1" s="1"/>
  <c r="G93" i="1"/>
  <c r="D95" i="1" l="1"/>
  <c r="E95" i="1" s="1"/>
  <c r="F95" i="1" s="1"/>
  <c r="G94" i="1"/>
  <c r="D96" i="1" l="1"/>
  <c r="E96" i="1" s="1"/>
  <c r="F96" i="1" s="1"/>
  <c r="G95" i="1"/>
  <c r="D97" i="1" l="1"/>
  <c r="E97" i="1" s="1"/>
  <c r="F97" i="1" s="1"/>
  <c r="G96" i="1"/>
  <c r="D98" i="1" l="1"/>
  <c r="E98" i="1" s="1"/>
  <c r="F98" i="1" s="1"/>
  <c r="G97" i="1"/>
  <c r="D99" i="1" l="1"/>
  <c r="E99" i="1" s="1"/>
  <c r="F99" i="1" s="1"/>
  <c r="G98" i="1"/>
  <c r="D100" i="1" l="1"/>
  <c r="E100" i="1" s="1"/>
  <c r="F100" i="1" s="1"/>
  <c r="G99" i="1"/>
  <c r="D101" i="1" l="1"/>
  <c r="E101" i="1" s="1"/>
  <c r="F101" i="1" s="1"/>
  <c r="G100" i="1"/>
  <c r="D102" i="1" l="1"/>
  <c r="E102" i="1" s="1"/>
  <c r="F102" i="1" s="1"/>
  <c r="G101" i="1"/>
  <c r="D103" i="1" l="1"/>
  <c r="E103" i="1" s="1"/>
  <c r="F103" i="1" s="1"/>
  <c r="G102" i="1"/>
  <c r="D104" i="1" l="1"/>
  <c r="E104" i="1" s="1"/>
  <c r="F104" i="1" s="1"/>
  <c r="G103" i="1"/>
  <c r="D105" i="1" l="1"/>
  <c r="E105" i="1" s="1"/>
  <c r="F105" i="1" s="1"/>
  <c r="G104" i="1"/>
  <c r="D106" i="1" l="1"/>
  <c r="E106" i="1" s="1"/>
  <c r="F106" i="1" s="1"/>
  <c r="G105" i="1"/>
  <c r="D107" i="1" l="1"/>
  <c r="E107" i="1" s="1"/>
  <c r="F107" i="1" s="1"/>
  <c r="G106" i="1"/>
  <c r="D108" i="1" l="1"/>
  <c r="E108" i="1" s="1"/>
  <c r="F108" i="1" s="1"/>
  <c r="G107" i="1"/>
  <c r="D109" i="1" l="1"/>
  <c r="E109" i="1" s="1"/>
  <c r="F109" i="1" s="1"/>
  <c r="G108" i="1"/>
  <c r="D110" i="1" l="1"/>
  <c r="E110" i="1" s="1"/>
  <c r="F110" i="1" s="1"/>
  <c r="G109" i="1"/>
  <c r="D111" i="1" l="1"/>
  <c r="E111" i="1" s="1"/>
  <c r="F111" i="1" s="1"/>
  <c r="G110" i="1"/>
  <c r="D112" i="1" l="1"/>
  <c r="E112" i="1" s="1"/>
  <c r="F112" i="1" s="1"/>
  <c r="G111" i="1"/>
  <c r="D113" i="1" l="1"/>
  <c r="E113" i="1" s="1"/>
  <c r="F113" i="1" s="1"/>
  <c r="G112" i="1"/>
  <c r="D114" i="1" l="1"/>
  <c r="E114" i="1" s="1"/>
  <c r="F114" i="1" s="1"/>
  <c r="G113" i="1"/>
  <c r="D115" i="1" l="1"/>
  <c r="E115" i="1" s="1"/>
  <c r="F115" i="1" s="1"/>
  <c r="G114" i="1"/>
  <c r="D116" i="1" l="1"/>
  <c r="E116" i="1" s="1"/>
  <c r="F116" i="1" s="1"/>
  <c r="G115" i="1"/>
  <c r="D117" i="1" l="1"/>
  <c r="E117" i="1" s="1"/>
  <c r="F117" i="1" s="1"/>
  <c r="G116" i="1"/>
  <c r="D118" i="1" l="1"/>
  <c r="E118" i="1" s="1"/>
  <c r="F118" i="1" s="1"/>
  <c r="G117" i="1"/>
  <c r="G118" i="1" l="1"/>
  <c r="D119" i="1"/>
  <c r="E119" i="1" s="1"/>
  <c r="F119" i="1" s="1"/>
  <c r="D120" i="1" l="1"/>
  <c r="E120" i="1" s="1"/>
  <c r="F120" i="1" s="1"/>
  <c r="G119" i="1"/>
  <c r="D121" i="1" l="1"/>
  <c r="E121" i="1" s="1"/>
  <c r="F121" i="1" s="1"/>
  <c r="G120" i="1"/>
  <c r="D122" i="1" l="1"/>
  <c r="E122" i="1" s="1"/>
  <c r="F122" i="1" s="1"/>
  <c r="G122" i="1" s="1"/>
  <c r="G121" i="1"/>
</calcChain>
</file>

<file path=xl/sharedStrings.xml><?xml version="1.0" encoding="utf-8"?>
<sst xmlns="http://schemas.openxmlformats.org/spreadsheetml/2006/main" count="41" uniqueCount="35">
  <si>
    <t>Customized Offers</t>
  </si>
  <si>
    <r>
      <rPr>
        <sz val="12"/>
        <color rgb="FFFFFFFF"/>
        <rFont val="Aptos Narrow"/>
        <scheme val="minor"/>
      </rPr>
      <t xml:space="preserve">*Only change what is highlighted in </t>
    </r>
    <r>
      <rPr>
        <sz val="12"/>
        <color rgb="FF0F9ED5"/>
        <rFont val="Aptos Narrow"/>
        <scheme val="minor"/>
      </rPr>
      <t>BLUE</t>
    </r>
  </si>
  <si>
    <t xml:space="preserve">Amount Requested </t>
  </si>
  <si>
    <t>Origination Fee</t>
  </si>
  <si>
    <t xml:space="preserve">O-Fee Deducted </t>
  </si>
  <si>
    <t>Commision</t>
  </si>
  <si>
    <t>Points %</t>
  </si>
  <si>
    <t>Total</t>
  </si>
  <si>
    <t>Offer</t>
  </si>
  <si>
    <t>TERM</t>
  </si>
  <si>
    <t>Total Funding</t>
  </si>
  <si>
    <t>Buy Rate</t>
  </si>
  <si>
    <t>Sell Rate</t>
  </si>
  <si>
    <t>Total Payback</t>
  </si>
  <si>
    <t>Weekly Payment</t>
  </si>
  <si>
    <t xml:space="preserve">Monthly Payment </t>
  </si>
  <si>
    <t>Ammoritization Schedule</t>
  </si>
  <si>
    <t>Loan Amount</t>
  </si>
  <si>
    <t xml:space="preserve">Term (Months) </t>
  </si>
  <si>
    <t>Payment Frequency</t>
  </si>
  <si>
    <t>Monthly</t>
  </si>
  <si>
    <t>Start Date</t>
  </si>
  <si>
    <t>Annual % Rate</t>
  </si>
  <si>
    <t># of Payments</t>
  </si>
  <si>
    <t xml:space="preserve">Payments per Year </t>
  </si>
  <si>
    <t>Monthly Payment</t>
  </si>
  <si>
    <t>Pay Period</t>
  </si>
  <si>
    <t>Date</t>
  </si>
  <si>
    <t>Payment</t>
  </si>
  <si>
    <t>Interest</t>
  </si>
  <si>
    <t>Principal</t>
  </si>
  <si>
    <t>Principle Balance</t>
  </si>
  <si>
    <t>Total Repayment</t>
  </si>
  <si>
    <t>Remaining Interst</t>
  </si>
  <si>
    <t>Waived interest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</si>
</sst>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0.0%"/>
    <numFmt numFmtId="166" formatCode="mm/dd/yyyy"/>
    <numFmt numFmtId="167" formatCode="&quot;$&quot;#,##0.00"/>
    <numFmt numFmtId="168" formatCode="mm/dd/yy;@"/>
  </numFmts>
  <fonts count="1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0"/>
      <name val="Agency FB"/>
    </font>
    <font>
      <b/>
      <sz val="14"/>
      <color theme="0"/>
      <name val="Aptos Narrow"/>
      <family val="2"/>
      <scheme val="minor"/>
    </font>
    <font>
      <sz val="12"/>
      <color rgb="FF0F9ED5"/>
      <name val="Aptos Narrow"/>
      <scheme val="minor"/>
    </font>
    <font>
      <sz val="11"/>
      <color theme="7"/>
      <name val="Aptos Narrow"/>
      <family val="2"/>
      <scheme val="minor"/>
    </font>
    <font>
      <sz val="12"/>
      <color theme="7"/>
      <name val="Aptos Narrow"/>
      <scheme val="minor"/>
    </font>
    <font>
      <sz val="12"/>
      <color rgb="FFFFFFFF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Aptos Narrow"/>
      <charset val="1"/>
    </font>
    <font>
      <sz val="11"/>
      <name val="Trebuchet MS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11"/>
      <color theme="1"/>
      <name val="Calibri"/>
    </font>
    <font>
      <sz val="16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14" fontId="14" fillId="0" borderId="0" applyFont="0" applyFill="0" applyBorder="0">
      <alignment horizontal="right"/>
    </xf>
  </cellStyleXfs>
  <cellXfs count="73">
    <xf numFmtId="0" fontId="0" fillId="0" borderId="0" xfId="0"/>
    <xf numFmtId="164" fontId="0" fillId="0" borderId="0" xfId="0" applyNumberFormat="1"/>
    <xf numFmtId="0" fontId="0" fillId="2" borderId="3" xfId="0" applyFill="1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1" fillId="3" borderId="1" xfId="0" applyFont="1" applyFill="1" applyBorder="1"/>
    <xf numFmtId="0" fontId="0" fillId="2" borderId="5" xfId="0" applyFill="1" applyBorder="1"/>
    <xf numFmtId="164" fontId="1" fillId="3" borderId="1" xfId="0" applyNumberFormat="1" applyFont="1" applyFill="1" applyBorder="1" applyAlignment="1">
      <alignment horizontal="center"/>
    </xf>
    <xf numFmtId="164" fontId="0" fillId="0" borderId="6" xfId="0" applyNumberFormat="1" applyBorder="1"/>
    <xf numFmtId="0" fontId="3" fillId="0" borderId="0" xfId="0" applyFont="1"/>
    <xf numFmtId="0" fontId="0" fillId="4" borderId="7" xfId="0" applyFill="1" applyBorder="1"/>
    <xf numFmtId="164" fontId="0" fillId="4" borderId="7" xfId="0" applyNumberFormat="1" applyFill="1" applyBorder="1"/>
    <xf numFmtId="164" fontId="0" fillId="4" borderId="4" xfId="0" applyNumberFormat="1" applyFill="1" applyBorder="1"/>
    <xf numFmtId="0" fontId="0" fillId="2" borderId="1" xfId="0" applyFill="1" applyBorder="1"/>
    <xf numFmtId="0" fontId="0" fillId="2" borderId="9" xfId="0" applyFill="1" applyBorder="1"/>
    <xf numFmtId="0" fontId="0" fillId="4" borderId="7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8" borderId="0" xfId="0" applyFont="1" applyFill="1"/>
    <xf numFmtId="0" fontId="7" fillId="8" borderId="0" xfId="0" applyFont="1" applyFill="1"/>
    <xf numFmtId="164" fontId="0" fillId="8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164" fontId="4" fillId="8" borderId="0" xfId="0" applyNumberFormat="1" applyFont="1" applyFill="1"/>
    <xf numFmtId="0" fontId="1" fillId="8" borderId="0" xfId="0" applyFont="1" applyFill="1"/>
    <xf numFmtId="0" fontId="1" fillId="8" borderId="0" xfId="0" applyFont="1" applyFill="1" applyAlignment="1">
      <alignment horizontal="center"/>
    </xf>
    <xf numFmtId="10" fontId="2" fillId="8" borderId="0" xfId="0" applyNumberFormat="1" applyFont="1" applyFill="1" applyAlignment="1">
      <alignment horizontal="center"/>
    </xf>
    <xf numFmtId="44" fontId="0" fillId="0" borderId="0" xfId="0" applyNumberFormat="1"/>
    <xf numFmtId="0" fontId="11" fillId="8" borderId="0" xfId="0" applyFont="1" applyFill="1"/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8" borderId="0" xfId="0" applyFill="1" applyAlignment="1">
      <alignment horizontal="left"/>
    </xf>
    <xf numFmtId="166" fontId="10" fillId="8" borderId="0" xfId="0" applyNumberFormat="1" applyFont="1" applyFill="1" applyAlignment="1" applyProtection="1">
      <alignment horizontal="center"/>
      <protection locked="0"/>
    </xf>
    <xf numFmtId="0" fontId="1" fillId="3" borderId="9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0" fillId="8" borderId="5" xfId="0" applyFill="1" applyBorder="1"/>
    <xf numFmtId="0" fontId="2" fillId="7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13" fillId="7" borderId="8" xfId="0" applyFont="1" applyFill="1" applyBorder="1" applyAlignment="1">
      <alignment horizontal="center"/>
    </xf>
    <xf numFmtId="165" fontId="10" fillId="5" borderId="9" xfId="0" applyNumberFormat="1" applyFont="1" applyFill="1" applyBorder="1" applyAlignment="1" applyProtection="1">
      <alignment horizontal="right"/>
      <protection locked="0"/>
    </xf>
    <xf numFmtId="167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4" fontId="0" fillId="0" borderId="0" xfId="0" applyNumberFormat="1" applyAlignment="1">
      <alignment horizontal="right"/>
    </xf>
    <xf numFmtId="165" fontId="10" fillId="5" borderId="12" xfId="0" applyNumberFormat="1" applyFont="1" applyFill="1" applyBorder="1" applyAlignment="1" applyProtection="1">
      <alignment horizontal="right"/>
      <protection locked="0"/>
    </xf>
    <xf numFmtId="164" fontId="16" fillId="0" borderId="9" xfId="0" applyNumberFormat="1" applyFont="1" applyBorder="1"/>
    <xf numFmtId="9" fontId="16" fillId="5" borderId="10" xfId="0" applyNumberFormat="1" applyFont="1" applyFill="1" applyBorder="1" applyAlignment="1">
      <alignment horizontal="right"/>
    </xf>
    <xf numFmtId="164" fontId="16" fillId="5" borderId="2" xfId="0" applyNumberFormat="1" applyFont="1" applyFill="1" applyBorder="1"/>
    <xf numFmtId="164" fontId="16" fillId="6" borderId="1" xfId="0" applyNumberFormat="1" applyFont="1" applyFill="1" applyBorder="1"/>
    <xf numFmtId="2" fontId="12" fillId="5" borderId="9" xfId="0" applyNumberFormat="1" applyFont="1" applyFill="1" applyBorder="1" applyAlignment="1">
      <alignment horizontal="center"/>
    </xf>
    <xf numFmtId="44" fontId="10" fillId="0" borderId="9" xfId="0" applyNumberFormat="1" applyFont="1" applyBorder="1" applyAlignment="1">
      <alignment horizontal="center"/>
    </xf>
    <xf numFmtId="164" fontId="16" fillId="0" borderId="9" xfId="0" applyNumberFormat="1" applyFont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4" fontId="2" fillId="0" borderId="1" xfId="0" applyNumberFormat="1" applyFont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9" borderId="9" xfId="0" applyFill="1" applyBorder="1" applyAlignment="1">
      <alignment horizontal="center"/>
    </xf>
    <xf numFmtId="164" fontId="0" fillId="9" borderId="9" xfId="0" applyNumberFormat="1" applyFill="1" applyBorder="1" applyAlignment="1">
      <alignment horizontal="center"/>
    </xf>
    <xf numFmtId="164" fontId="0" fillId="9" borderId="3" xfId="0" applyNumberFormat="1" applyFill="1" applyBorder="1" applyAlignment="1">
      <alignment horizontal="center"/>
    </xf>
    <xf numFmtId="14" fontId="12" fillId="5" borderId="9" xfId="0" applyNumberFormat="1" applyFont="1" applyFill="1" applyBorder="1" applyAlignment="1">
      <alignment horizontal="center"/>
    </xf>
    <xf numFmtId="0" fontId="0" fillId="0" borderId="8" xfId="0" applyBorder="1"/>
    <xf numFmtId="168" fontId="0" fillId="0" borderId="1" xfId="0" applyNumberFormat="1" applyBorder="1"/>
    <xf numFmtId="167" fontId="0" fillId="0" borderId="1" xfId="0" applyNumberFormat="1" applyBorder="1"/>
    <xf numFmtId="10" fontId="12" fillId="0" borderId="1" xfId="1" applyNumberFormat="1" applyFont="1" applyFill="1" applyBorder="1" applyAlignment="1">
      <alignment horizontal="center"/>
    </xf>
    <xf numFmtId="44" fontId="12" fillId="0" borderId="9" xfId="1" applyNumberFormat="1" applyFont="1" applyFill="1" applyBorder="1" applyAlignment="1">
      <alignment horizontal="center"/>
    </xf>
    <xf numFmtId="44" fontId="0" fillId="0" borderId="1" xfId="0" applyNumberFormat="1" applyBorder="1"/>
    <xf numFmtId="0" fontId="17" fillId="8" borderId="0" xfId="0" applyFont="1" applyFill="1"/>
    <xf numFmtId="167" fontId="10" fillId="5" borderId="1" xfId="0" applyNumberFormat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Date" xfId="2" xr:uid="{D5A02DBF-3A52-443B-BCAB-99F1A03F00FC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1</xdr:col>
      <xdr:colOff>409575</xdr:colOff>
      <xdr:row>5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200ADC-D944-AE72-423A-0E482659AED3}"/>
            </a:ext>
            <a:ext uri="{147F2762-F138-4A5C-976F-8EAC2B608ADB}">
              <a16:predDERef xmlns:a16="http://schemas.microsoft.com/office/drawing/2014/main" pred="{0EAA061B-DFF2-F0F2-1D6C-DE18D1924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771650" cy="177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3"/>
  <sheetViews>
    <sheetView tabSelected="1" workbookViewId="0">
      <selection activeCell="B6" sqref="B6"/>
    </sheetView>
  </sheetViews>
  <sheetFormatPr defaultRowHeight="15" customHeight="1"/>
  <cols>
    <col min="1" max="1" width="23.7109375" customWidth="1"/>
    <col min="2" max="2" width="18.5703125" customWidth="1"/>
    <col min="3" max="3" width="20.85546875" style="1" customWidth="1"/>
    <col min="4" max="4" width="17.42578125" style="3" customWidth="1"/>
    <col min="5" max="5" width="18" style="3" customWidth="1"/>
    <col min="6" max="6" width="22" style="1" customWidth="1"/>
    <col min="7" max="7" width="16.42578125" style="1" bestFit="1" customWidth="1"/>
    <col min="8" max="8" width="16.85546875" style="1" bestFit="1" customWidth="1"/>
    <col min="9" max="9" width="25.5703125" customWidth="1"/>
    <col min="10" max="10" width="14.5703125" customWidth="1"/>
    <col min="11" max="11" width="20.28515625" bestFit="1" customWidth="1"/>
    <col min="15" max="15" width="16.42578125" customWidth="1"/>
  </cols>
  <sheetData>
    <row r="1" spans="1:30" ht="101.25" customHeight="1">
      <c r="A1" s="17"/>
      <c r="B1" s="18"/>
      <c r="C1" s="19"/>
      <c r="D1" s="20"/>
      <c r="E1" s="20"/>
      <c r="F1" s="19"/>
      <c r="G1" s="19"/>
      <c r="H1" s="19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17.25" hidden="1" customHeight="1">
      <c r="A2" s="9"/>
      <c r="B2" s="21"/>
      <c r="C2" s="19"/>
      <c r="D2" s="20"/>
      <c r="E2" s="20"/>
      <c r="F2" s="19"/>
      <c r="G2" s="19"/>
      <c r="H2" s="19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20.25" hidden="1" customHeight="1">
      <c r="B3" s="21"/>
      <c r="C3" s="19"/>
      <c r="D3" s="20"/>
      <c r="E3" s="20"/>
      <c r="F3" s="19"/>
      <c r="G3" s="19"/>
      <c r="H3" s="19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21">
      <c r="A4" s="71" t="s">
        <v>0</v>
      </c>
      <c r="B4" s="22"/>
      <c r="C4" s="18" t="s">
        <v>1</v>
      </c>
      <c r="D4" s="24"/>
      <c r="E4" s="20"/>
      <c r="F4" s="23"/>
      <c r="G4" s="19"/>
      <c r="H4" s="19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>
      <c r="A5" s="6" t="s">
        <v>2</v>
      </c>
      <c r="B5" s="49">
        <v>250000</v>
      </c>
      <c r="C5" s="30"/>
      <c r="D5" s="31"/>
      <c r="E5" s="25"/>
      <c r="F5" s="30"/>
      <c r="G5" s="19"/>
      <c r="H5" s="19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>
      <c r="A6" s="29" t="s">
        <v>3</v>
      </c>
      <c r="B6" s="42">
        <v>2.5000000000000001E-2</v>
      </c>
      <c r="C6" s="30"/>
      <c r="D6" s="31"/>
      <c r="E6" s="25"/>
      <c r="F6" s="30"/>
      <c r="G6" s="19"/>
      <c r="H6" s="19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2" t="s">
        <v>4</v>
      </c>
      <c r="B7" s="47">
        <f>B5*B6</f>
        <v>6250</v>
      </c>
      <c r="C7" s="19"/>
      <c r="D7" s="20"/>
      <c r="E7" s="20"/>
      <c r="F7" s="30"/>
      <c r="G7" s="19"/>
      <c r="H7" s="19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>
      <c r="A8" s="34"/>
      <c r="B8" s="19"/>
      <c r="C8" s="19"/>
      <c r="D8" s="20"/>
      <c r="E8" s="20"/>
      <c r="F8" s="30"/>
      <c r="G8" s="19"/>
      <c r="H8" s="19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>
      <c r="A9" s="5" t="s">
        <v>5</v>
      </c>
      <c r="B9" s="19"/>
      <c r="C9" s="19"/>
      <c r="D9" s="20"/>
      <c r="E9" s="20"/>
      <c r="F9" s="30"/>
      <c r="G9" s="19"/>
      <c r="H9" s="19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>
      <c r="A10" s="14" t="s">
        <v>6</v>
      </c>
      <c r="B10" s="48">
        <v>0.1</v>
      </c>
      <c r="C10" s="19"/>
      <c r="D10" s="20"/>
      <c r="E10" s="20"/>
      <c r="F10" s="30"/>
      <c r="G10" s="19"/>
      <c r="H10" s="19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>
      <c r="A11" s="13" t="s">
        <v>7</v>
      </c>
      <c r="B11" s="50">
        <f>SUM(B10*B5)</f>
        <v>25000</v>
      </c>
      <c r="C11" s="19"/>
      <c r="D11" s="20"/>
      <c r="E11" s="20"/>
      <c r="F11" s="19"/>
      <c r="G11" s="19"/>
      <c r="H11" s="19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>
      <c r="A12" s="21"/>
      <c r="B12" s="19"/>
      <c r="C12" s="19"/>
      <c r="D12" s="20"/>
      <c r="E12" s="20"/>
      <c r="F12" s="19"/>
      <c r="G12" s="19"/>
      <c r="H12" s="19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>
      <c r="A13" s="43" t="s">
        <v>8</v>
      </c>
      <c r="B13" s="32" t="s">
        <v>9</v>
      </c>
      <c r="C13" s="44" t="s">
        <v>10</v>
      </c>
      <c r="D13" s="32" t="s">
        <v>11</v>
      </c>
      <c r="E13" s="32" t="s">
        <v>12</v>
      </c>
      <c r="F13" s="43" t="s">
        <v>13</v>
      </c>
      <c r="G13" s="7" t="s">
        <v>14</v>
      </c>
      <c r="H13" s="7" t="s">
        <v>15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>
      <c r="A14" s="26">
        <f>B5</f>
        <v>250000</v>
      </c>
      <c r="B14" s="36">
        <v>6</v>
      </c>
      <c r="C14" s="45">
        <f>SUM(B5-B7)</f>
        <v>243750</v>
      </c>
      <c r="D14" s="37"/>
      <c r="E14" s="35">
        <f>SUM(D14+B10)</f>
        <v>0.1</v>
      </c>
      <c r="F14" s="26">
        <f>SUM(B5*E14)</f>
        <v>25000</v>
      </c>
      <c r="G14" s="1">
        <f>F14/26</f>
        <v>961.53846153846155</v>
      </c>
      <c r="H14" s="1">
        <f>F14/6</f>
        <v>4166.666666666667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>
      <c r="A15" s="26">
        <f>B5</f>
        <v>250000</v>
      </c>
      <c r="B15" s="3">
        <v>7</v>
      </c>
      <c r="C15" s="45">
        <f>SUM(B5-B7)</f>
        <v>243750</v>
      </c>
      <c r="D15" s="33"/>
      <c r="E15" s="38">
        <f>SUM(D15+B10)</f>
        <v>0.1</v>
      </c>
      <c r="F15" s="26">
        <f>SUM(B5*E15)</f>
        <v>25000</v>
      </c>
      <c r="G15" s="1">
        <f>F15/30</f>
        <v>833.33333333333337</v>
      </c>
      <c r="H15" s="8">
        <f>F15/7</f>
        <v>3571.4285714285716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>
      <c r="A16" s="26">
        <f>B5</f>
        <v>250000</v>
      </c>
      <c r="B16" s="3">
        <v>8</v>
      </c>
      <c r="C16" s="45">
        <f>SUM(B5-B7)</f>
        <v>243750</v>
      </c>
      <c r="D16" s="16"/>
      <c r="E16" s="39">
        <f>SUM(D16+B10)</f>
        <v>0.1</v>
      </c>
      <c r="F16" s="26">
        <f>SUM(B5*E16)</f>
        <v>25000</v>
      </c>
      <c r="G16" s="1">
        <f>F16/35</f>
        <v>714.28571428571433</v>
      </c>
      <c r="H16" s="8">
        <f>F16/8</f>
        <v>3125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>
      <c r="A17" s="26">
        <f>B5</f>
        <v>250000</v>
      </c>
      <c r="B17" s="3">
        <v>9</v>
      </c>
      <c r="C17" s="45">
        <f>SUM(B5-B7)</f>
        <v>243750</v>
      </c>
      <c r="D17" s="16"/>
      <c r="E17" s="39">
        <f>SUM(D17+B10)</f>
        <v>0.1</v>
      </c>
      <c r="F17" s="26">
        <f>SUM(B5*E17)</f>
        <v>25000</v>
      </c>
      <c r="G17" s="1">
        <f>F17/39</f>
        <v>641.02564102564099</v>
      </c>
      <c r="H17" s="8">
        <f>F17/9</f>
        <v>2777.7777777777778</v>
      </c>
      <c r="I17" s="21"/>
      <c r="J17" s="21"/>
      <c r="K17" s="21"/>
      <c r="L17" s="21"/>
      <c r="M17" s="21"/>
      <c r="N17" s="21"/>
      <c r="O17" s="19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>
      <c r="A18" s="26">
        <f>B5</f>
        <v>250000</v>
      </c>
      <c r="B18" s="3">
        <v>10</v>
      </c>
      <c r="C18" s="45">
        <f>SUM(B5-B7)</f>
        <v>243750</v>
      </c>
      <c r="D18" s="16"/>
      <c r="E18" s="39">
        <f>SUM(D18+B10)</f>
        <v>0.1</v>
      </c>
      <c r="F18" s="26">
        <f>SUM(B5*E18)</f>
        <v>25000</v>
      </c>
      <c r="G18" s="1">
        <f>F18/43</f>
        <v>581.39534883720933</v>
      </c>
      <c r="H18" s="8">
        <f>F18/10</f>
        <v>2500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>
      <c r="A19" s="26">
        <f>B5</f>
        <v>250000</v>
      </c>
      <c r="B19" s="3">
        <v>11</v>
      </c>
      <c r="C19" s="45">
        <f>SUM(B5-B7)</f>
        <v>243750</v>
      </c>
      <c r="D19" s="16"/>
      <c r="E19" s="39">
        <f>SUM(D19+B10)</f>
        <v>0.1</v>
      </c>
      <c r="F19" s="26">
        <f>SUM(B5*E19)</f>
        <v>25000</v>
      </c>
      <c r="G19" s="1">
        <f>F19/48</f>
        <v>520.83333333333337</v>
      </c>
      <c r="H19" s="8">
        <f>F19/11</f>
        <v>2272.7272727272725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>
      <c r="A20" s="26">
        <f>B5</f>
        <v>250000</v>
      </c>
      <c r="B20" s="3">
        <v>12</v>
      </c>
      <c r="C20" s="45">
        <f>SUM(B5-B7)</f>
        <v>243750</v>
      </c>
      <c r="D20" s="16"/>
      <c r="E20" s="40">
        <f>SUM(D20+B10)</f>
        <v>0.1</v>
      </c>
      <c r="F20" s="26">
        <f>SUM(B5*E20)</f>
        <v>25000</v>
      </c>
      <c r="G20" s="1">
        <f>F20/52</f>
        <v>480.76923076923077</v>
      </c>
      <c r="H20" s="8">
        <f>F20/12</f>
        <v>2083.3333333333335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>
      <c r="A21" s="26">
        <f>B5</f>
        <v>250000</v>
      </c>
      <c r="B21" s="3">
        <v>15</v>
      </c>
      <c r="C21" s="45">
        <f>SUM(B5-B7)</f>
        <v>243750</v>
      </c>
      <c r="D21" s="16"/>
      <c r="E21" s="41">
        <f>SUM(D21+B10)</f>
        <v>0.1</v>
      </c>
      <c r="F21" s="26">
        <f>SUM(B5*E21)</f>
        <v>25000</v>
      </c>
      <c r="G21" s="1">
        <f>F21/65</f>
        <v>384.61538461538464</v>
      </c>
      <c r="H21" s="8">
        <f>F21/15</f>
        <v>1666.6666666666667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>
      <c r="A22" s="26">
        <f>B5</f>
        <v>250000</v>
      </c>
      <c r="B22" s="3">
        <v>18</v>
      </c>
      <c r="C22" s="45">
        <f>SUM(B5-B7)</f>
        <v>243750</v>
      </c>
      <c r="D22" s="16">
        <v>1.24</v>
      </c>
      <c r="E22" s="38">
        <f>SUM(D22+B10)</f>
        <v>1.34</v>
      </c>
      <c r="F22" s="26">
        <f>SUM(B5*E22)</f>
        <v>335000</v>
      </c>
      <c r="G22" s="1">
        <f>F22/78</f>
        <v>4294.8717948717949</v>
      </c>
      <c r="H22" s="8">
        <f>F22/18</f>
        <v>18611.111111111109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>
      <c r="A23" s="26">
        <f>B5</f>
        <v>250000</v>
      </c>
      <c r="B23" s="3">
        <v>24</v>
      </c>
      <c r="C23" s="45">
        <f>SUM(B5-B7)</f>
        <v>243750</v>
      </c>
      <c r="D23" s="16"/>
      <c r="E23" s="39">
        <f>SUM(D23+B10)</f>
        <v>0.1</v>
      </c>
      <c r="F23" s="26">
        <f>SUM(B5*E23)</f>
        <v>25000</v>
      </c>
      <c r="G23" s="1">
        <f>F23/104</f>
        <v>240.38461538461539</v>
      </c>
      <c r="H23" s="8">
        <f>F23/24</f>
        <v>1041.6666666666667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>
      <c r="A24" s="10"/>
      <c r="B24" s="10"/>
      <c r="C24" s="11"/>
      <c r="D24" s="15"/>
      <c r="E24" s="15"/>
      <c r="F24" s="11"/>
      <c r="G24" s="11"/>
      <c r="H24" s="1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>
      <c r="A25" s="21"/>
      <c r="B25" s="21"/>
      <c r="C25" s="19"/>
      <c r="D25" s="20"/>
      <c r="E25" s="20"/>
      <c r="F25" s="19"/>
      <c r="G25" s="19"/>
      <c r="H25" s="19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>
      <c r="A26" s="21"/>
      <c r="B26" s="21"/>
      <c r="C26" s="19"/>
      <c r="D26" s="20"/>
      <c r="E26" s="20"/>
      <c r="F26" s="19"/>
      <c r="G26" s="19"/>
      <c r="H26" s="19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21">
      <c r="A27" s="71" t="s">
        <v>16</v>
      </c>
      <c r="B27" s="18"/>
      <c r="C27" s="18" t="s">
        <v>1</v>
      </c>
      <c r="D27" s="20"/>
      <c r="E27" s="20"/>
      <c r="F27" s="19"/>
      <c r="G27" s="19"/>
      <c r="H27" s="19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>
      <c r="A28" s="6" t="s">
        <v>17</v>
      </c>
      <c r="B28" s="72">
        <v>250000</v>
      </c>
      <c r="C28" s="27"/>
      <c r="D28" s="20"/>
      <c r="E28" s="20"/>
      <c r="F28" s="19"/>
      <c r="G28" s="19"/>
      <c r="H28" s="19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>
      <c r="A29" s="29" t="s">
        <v>3</v>
      </c>
      <c r="B29" s="46">
        <v>2.5000000000000001E-2</v>
      </c>
      <c r="C29" s="27"/>
      <c r="D29" s="20"/>
      <c r="E29" s="20"/>
      <c r="F29" s="19"/>
      <c r="G29" s="19"/>
      <c r="H29" s="19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>
      <c r="A30" s="2" t="s">
        <v>12</v>
      </c>
      <c r="B30" s="51">
        <v>1.38</v>
      </c>
      <c r="C30" s="27"/>
      <c r="D30" s="20"/>
      <c r="E30" s="20"/>
      <c r="F30" s="19"/>
      <c r="G30" s="19"/>
      <c r="H30" s="19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>
      <c r="A31" s="2" t="s">
        <v>18</v>
      </c>
      <c r="B31" s="54">
        <v>24</v>
      </c>
      <c r="C31" s="27"/>
      <c r="D31" s="20"/>
      <c r="E31" s="20"/>
      <c r="F31" s="19"/>
      <c r="G31" s="19"/>
      <c r="H31" s="19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>
      <c r="A32" s="2" t="s">
        <v>19</v>
      </c>
      <c r="B32" s="54" t="s">
        <v>20</v>
      </c>
      <c r="C32" s="27"/>
      <c r="D32" s="20"/>
      <c r="E32" s="20"/>
      <c r="F32" s="19"/>
      <c r="G32" s="19"/>
      <c r="H32" s="19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>
      <c r="A33" s="2" t="s">
        <v>21</v>
      </c>
      <c r="B33" s="64">
        <v>46154</v>
      </c>
      <c r="C33" s="27"/>
      <c r="D33" s="20"/>
      <c r="E33" s="20"/>
      <c r="F33" s="19"/>
      <c r="G33" s="19"/>
      <c r="H33" s="19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16.5" customHeight="1">
      <c r="A34" s="2" t="s">
        <v>4</v>
      </c>
      <c r="B34" s="53">
        <f>B28*B29</f>
        <v>6250</v>
      </c>
      <c r="C34" s="27"/>
      <c r="D34" s="20"/>
      <c r="E34" s="20"/>
      <c r="F34" s="19"/>
      <c r="G34" s="19"/>
      <c r="H34" s="19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>
      <c r="A35" s="2" t="s">
        <v>10</v>
      </c>
      <c r="B35" s="52">
        <f>B28-B34</f>
        <v>243750</v>
      </c>
      <c r="C35" s="27"/>
      <c r="D35" s="20"/>
      <c r="E35" s="20"/>
      <c r="F35" s="19"/>
      <c r="G35" s="19"/>
      <c r="H35" s="19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>
      <c r="A36" s="2" t="s">
        <v>13</v>
      </c>
      <c r="B36" s="69">
        <f>B28*B30</f>
        <v>345000</v>
      </c>
      <c r="C36" s="27"/>
      <c r="D36" s="20"/>
      <c r="E36" s="20"/>
      <c r="F36" s="19"/>
      <c r="G36" s="19"/>
      <c r="H36" s="19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>
      <c r="A37" s="2" t="s">
        <v>22</v>
      </c>
      <c r="B37" s="68">
        <f>IRR(C44:C122)*B39</f>
        <v>0.33060029768128718</v>
      </c>
      <c r="C37" s="27"/>
      <c r="D37" s="20"/>
      <c r="E37" s="20"/>
      <c r="F37" s="19"/>
      <c r="G37" s="19"/>
      <c r="H37" s="19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47.25" customHeight="1">
      <c r="A38" s="28" t="s">
        <v>23</v>
      </c>
      <c r="B38" s="55">
        <f>B31/12*B39</f>
        <v>24</v>
      </c>
      <c r="C38" s="19"/>
      <c r="D38" s="20"/>
      <c r="E38" s="20"/>
      <c r="F38" s="19"/>
      <c r="G38" s="19"/>
      <c r="H38" s="19"/>
      <c r="I38" s="21"/>
      <c r="J38" s="21"/>
      <c r="K38" s="19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28.5" customHeight="1">
      <c r="A39" s="30" t="s">
        <v>24</v>
      </c>
      <c r="B39" s="20">
        <f>+IF(B32="weekly",52,12)</f>
        <v>12</v>
      </c>
      <c r="C39" s="19"/>
      <c r="D39" s="20"/>
      <c r="E39" s="20"/>
      <c r="F39" s="19"/>
      <c r="G39" s="19"/>
      <c r="H39" s="19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>
      <c r="A40" s="21"/>
      <c r="B40" s="20"/>
      <c r="C40" s="19"/>
      <c r="D40" s="20"/>
      <c r="E40" s="20"/>
      <c r="F40" s="19"/>
      <c r="G40" s="19"/>
      <c r="H40" s="19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>
      <c r="A41" s="4" t="s">
        <v>25</v>
      </c>
      <c r="B41" s="56">
        <f>B28*B30/B38</f>
        <v>14375</v>
      </c>
      <c r="C41" s="19"/>
      <c r="D41" s="20"/>
      <c r="E41" s="20"/>
      <c r="F41" s="19"/>
      <c r="G41" s="19"/>
      <c r="H41" s="19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>
      <c r="A42" s="21"/>
      <c r="B42" s="21"/>
      <c r="C42" s="19"/>
      <c r="D42" s="20"/>
      <c r="E42" s="20"/>
      <c r="F42" s="19"/>
      <c r="G42" s="19"/>
      <c r="H42" s="19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>
      <c r="A43" s="61" t="s">
        <v>26</v>
      </c>
      <c r="B43" s="61" t="s">
        <v>27</v>
      </c>
      <c r="C43" s="62" t="s">
        <v>28</v>
      </c>
      <c r="D43" s="61" t="s">
        <v>29</v>
      </c>
      <c r="E43" s="61" t="s">
        <v>30</v>
      </c>
      <c r="F43" s="62" t="s">
        <v>31</v>
      </c>
      <c r="G43" s="62" t="s">
        <v>32</v>
      </c>
      <c r="H43" s="63" t="s">
        <v>33</v>
      </c>
      <c r="I43" s="61" t="s">
        <v>34</v>
      </c>
      <c r="J43" s="57"/>
      <c r="K43" s="57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>
      <c r="A44" s="58">
        <v>0</v>
      </c>
      <c r="B44" s="66">
        <f>B33</f>
        <v>46154</v>
      </c>
      <c r="C44" s="67">
        <f>-B28</f>
        <v>-250000</v>
      </c>
      <c r="D44" s="60"/>
      <c r="E44" s="60"/>
      <c r="F44" s="59">
        <f>B28</f>
        <v>250000</v>
      </c>
      <c r="G44" s="59">
        <f>F44</f>
        <v>250000</v>
      </c>
      <c r="H44" s="59"/>
      <c r="I44" s="58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>
      <c r="A45" s="58">
        <v>1</v>
      </c>
      <c r="B45" s="66">
        <f>IF($B$39=12,EDATE(B44, 1),IF($B$39=52, B44+7,IF($B$39=26, B44+14,+IF($B$39=24, B44+15,B44+ROUND(365/$B$39, 0)))))</f>
        <v>46185</v>
      </c>
      <c r="C45" s="67">
        <f>IF(A44&lt;$B$38,$B41,0)</f>
        <v>14375</v>
      </c>
      <c r="D45" s="59">
        <f>F44*$B$37/$B39</f>
        <v>6887.5062016934826</v>
      </c>
      <c r="E45" s="67">
        <f>C45-D45</f>
        <v>7487.4937983065174</v>
      </c>
      <c r="F45" s="59">
        <f>F44-E45</f>
        <v>242512.5062016935</v>
      </c>
      <c r="G45" s="70">
        <f>IF(A44&lt;$B$38,SUM($C$45:C45)+F45,0)</f>
        <v>256887.5062016935</v>
      </c>
      <c r="H45" s="58">
        <v>0</v>
      </c>
      <c r="I45" s="58">
        <v>0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>
      <c r="A46" s="58">
        <f>A45+1</f>
        <v>2</v>
      </c>
      <c r="B46" s="66">
        <f t="shared" ref="B46:B109" si="0">IF($B$39=12,EDATE(B45, 1),IF($B$39=52, B45+7,IF($B$39=26, B45+14,+IF($B$39=24, B45+15,B45+ROUND(365/$B$39, 0)))))</f>
        <v>46215</v>
      </c>
      <c r="C46" s="67">
        <f>IF(A45&lt;$B$38,$B41,0)</f>
        <v>14375</v>
      </c>
      <c r="D46" s="59">
        <f>F45*$B$37/$B39</f>
        <v>6681.2255618095733</v>
      </c>
      <c r="E46" s="67">
        <f>C46-D46</f>
        <v>7693.7744381904267</v>
      </c>
      <c r="F46" s="59">
        <f>F45-E46</f>
        <v>234818.73176350308</v>
      </c>
      <c r="G46" s="70">
        <f>IF(A45&lt;$B$38,SUM($C$45:C46)+F46,0)</f>
        <v>263568.73176350305</v>
      </c>
      <c r="H46" s="58">
        <v>0</v>
      </c>
      <c r="I46" s="58">
        <v>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>
      <c r="A47" s="58">
        <f t="shared" ref="A47:A110" si="1">A46+1</f>
        <v>3</v>
      </c>
      <c r="B47" s="66">
        <f t="shared" si="0"/>
        <v>46246</v>
      </c>
      <c r="C47" s="67">
        <f>IF(A46&lt;$B$38,$B41,0)</f>
        <v>14375</v>
      </c>
      <c r="D47" s="59">
        <f>F46*B37/$B$39</f>
        <v>6469.2618851797042</v>
      </c>
      <c r="E47" s="67">
        <f t="shared" ref="E47:E110" si="2">C47-D47</f>
        <v>7905.7381148202958</v>
      </c>
      <c r="F47" s="59">
        <f t="shared" ref="F47:F110" si="3">F46-E47</f>
        <v>226912.99364868278</v>
      </c>
      <c r="G47" s="70">
        <f>IF(A46&lt;$B$38,SUM($C$45:C47)+F47,0)</f>
        <v>270037.99364868278</v>
      </c>
      <c r="H47" s="58">
        <v>0</v>
      </c>
      <c r="I47" s="58">
        <v>0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>
      <c r="A48" s="58">
        <f t="shared" si="1"/>
        <v>4</v>
      </c>
      <c r="B48" s="66">
        <f t="shared" si="0"/>
        <v>46277</v>
      </c>
      <c r="C48" s="67">
        <f>IF(A47&lt;$B$38,$B41,0)</f>
        <v>14375</v>
      </c>
      <c r="D48" s="59">
        <f>F47*B37/$B$39</f>
        <v>6251.4586040005461</v>
      </c>
      <c r="E48" s="67">
        <f t="shared" si="2"/>
        <v>8123.5413959994539</v>
      </c>
      <c r="F48" s="59">
        <f t="shared" si="3"/>
        <v>218789.45225268332</v>
      </c>
      <c r="G48" s="70">
        <f>IF(A47&lt;$B$38,SUM($C$45:C48)+F48,0)</f>
        <v>276289.45225268335</v>
      </c>
      <c r="H48" s="58">
        <v>0</v>
      </c>
      <c r="I48" s="58">
        <v>0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>
      <c r="A49" s="58">
        <f t="shared" si="1"/>
        <v>5</v>
      </c>
      <c r="B49" s="66">
        <f t="shared" si="0"/>
        <v>46307</v>
      </c>
      <c r="C49" s="67">
        <f>IF(A48&lt;$B$38,$B41,0)</f>
        <v>14375</v>
      </c>
      <c r="D49" s="59">
        <f>F48*B37/$B$39</f>
        <v>6027.6548370219061</v>
      </c>
      <c r="E49" s="67">
        <f t="shared" si="2"/>
        <v>8347.3451629780939</v>
      </c>
      <c r="F49" s="59">
        <f>F48-E49</f>
        <v>210442.10708970521</v>
      </c>
      <c r="G49" s="70">
        <f>IF(A48&lt;$B$38,SUM($C$45:C49)+F49,0)</f>
        <v>282317.10708970518</v>
      </c>
      <c r="H49" s="58">
        <v>0</v>
      </c>
      <c r="I49" s="58">
        <v>0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>
      <c r="A50" s="58">
        <f t="shared" si="1"/>
        <v>6</v>
      </c>
      <c r="B50" s="66">
        <f t="shared" si="0"/>
        <v>46338</v>
      </c>
      <c r="C50" s="67">
        <f>IF(A49&lt;$B$38,$B41,0)</f>
        <v>14375</v>
      </c>
      <c r="D50" s="59">
        <f>F49*B37/$B$39</f>
        <v>5797.6852707111548</v>
      </c>
      <c r="E50" s="67">
        <f t="shared" si="2"/>
        <v>8577.3147292888461</v>
      </c>
      <c r="F50" s="59">
        <f t="shared" si="3"/>
        <v>201864.79236041638</v>
      </c>
      <c r="G50" s="70">
        <f>IF(A49&lt;$B$38,SUM($C$45:C50)+F50,0)</f>
        <v>288114.79236041638</v>
      </c>
      <c r="H50" s="58">
        <v>0</v>
      </c>
      <c r="I50" s="58">
        <v>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>
      <c r="A51" s="58">
        <f t="shared" si="1"/>
        <v>7</v>
      </c>
      <c r="B51" s="66">
        <f t="shared" si="0"/>
        <v>46368</v>
      </c>
      <c r="C51" s="67">
        <f>IF(A50&lt;$B$38,$B41,0)</f>
        <v>14375</v>
      </c>
      <c r="D51" s="59">
        <f>F50*B37/$B$39</f>
        <v>5561.3800371437401</v>
      </c>
      <c r="E51" s="67">
        <f t="shared" si="2"/>
        <v>8813.6199628562608</v>
      </c>
      <c r="F51" s="59">
        <f t="shared" si="3"/>
        <v>193051.17239756012</v>
      </c>
      <c r="G51" s="70">
        <f>IF(A50&lt;$B$38,SUM($C$45:C51)+F51,0)</f>
        <v>293676.17239756009</v>
      </c>
      <c r="H51" s="58">
        <v>0</v>
      </c>
      <c r="I51" s="58">
        <v>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>
      <c r="A52" s="58">
        <f t="shared" si="1"/>
        <v>8</v>
      </c>
      <c r="B52" s="66">
        <f t="shared" si="0"/>
        <v>46399</v>
      </c>
      <c r="C52" s="67">
        <f>IF(A51&lt;$B$38,$B41,0)</f>
        <v>14375</v>
      </c>
      <c r="D52" s="59">
        <f>F51*B37/$B$39</f>
        <v>5318.5645885295717</v>
      </c>
      <c r="E52" s="67">
        <f t="shared" si="2"/>
        <v>9056.4354114704292</v>
      </c>
      <c r="F52" s="59">
        <f t="shared" si="3"/>
        <v>183994.7369860897</v>
      </c>
      <c r="G52" s="70">
        <f>IF(A51&lt;$B$38,SUM($C$45:C52)+F52,0)</f>
        <v>298994.73698608973</v>
      </c>
      <c r="H52" s="58">
        <v>0</v>
      </c>
      <c r="I52" s="58">
        <v>0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>
      <c r="A53" s="58">
        <f t="shared" si="1"/>
        <v>9</v>
      </c>
      <c r="B53" s="66">
        <f t="shared" si="0"/>
        <v>46430</v>
      </c>
      <c r="C53" s="67">
        <f>IF(A52&lt;$B$38,$B41,0)</f>
        <v>14375</v>
      </c>
      <c r="D53" s="59">
        <f>F52*B37/$B$39</f>
        <v>5069.0595682826161</v>
      </c>
      <c r="E53" s="67">
        <f t="shared" si="2"/>
        <v>9305.940431717383</v>
      </c>
      <c r="F53" s="59">
        <f t="shared" si="3"/>
        <v>174688.79655437233</v>
      </c>
      <c r="G53" s="70">
        <f>IF(A52&lt;$B$38,SUM($C$45:C53)+F53,0)</f>
        <v>304063.7965543723</v>
      </c>
      <c r="H53" s="58">
        <v>0</v>
      </c>
      <c r="I53" s="58">
        <v>0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>
      <c r="A54" s="58">
        <f t="shared" si="1"/>
        <v>10</v>
      </c>
      <c r="B54" s="66">
        <f t="shared" si="0"/>
        <v>46458</v>
      </c>
      <c r="C54" s="67">
        <f>IF(A53&lt;$B$38,$B41,0)</f>
        <v>14375</v>
      </c>
      <c r="D54" s="59">
        <f>F53*B37/$B$39</f>
        <v>4812.6806785384424</v>
      </c>
      <c r="E54" s="67">
        <f t="shared" si="2"/>
        <v>9562.3193214615567</v>
      </c>
      <c r="F54" s="59">
        <f t="shared" si="3"/>
        <v>165126.47723291078</v>
      </c>
      <c r="G54" s="70">
        <f>IF(A53&lt;$B$38,SUM($C$45:C54)+F54,0)</f>
        <v>308876.47723291081</v>
      </c>
      <c r="H54" s="58">
        <v>0</v>
      </c>
      <c r="I54" s="58">
        <v>0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>
      <c r="A55" s="58">
        <f t="shared" si="1"/>
        <v>11</v>
      </c>
      <c r="B55" s="66">
        <f t="shared" si="0"/>
        <v>46489</v>
      </c>
      <c r="C55" s="67">
        <f>IF(A54&lt;$B$38,$B41,0)</f>
        <v>14375</v>
      </c>
      <c r="D55" s="59">
        <f>F54*B37/$B$39</f>
        <v>4549.2385440218832</v>
      </c>
      <c r="E55" s="67">
        <f t="shared" si="2"/>
        <v>9825.7614559781177</v>
      </c>
      <c r="F55" s="59">
        <f t="shared" si="3"/>
        <v>155300.71577693266</v>
      </c>
      <c r="G55" s="70">
        <f>IF(A54&lt;$B$38,SUM($C$45:C55)+F55,0)</f>
        <v>313425.71577693266</v>
      </c>
      <c r="H55" s="58">
        <v>0</v>
      </c>
      <c r="I55" s="58">
        <v>0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>
      <c r="A56" s="58">
        <f t="shared" si="1"/>
        <v>12</v>
      </c>
      <c r="B56" s="66">
        <f t="shared" si="0"/>
        <v>46519</v>
      </c>
      <c r="C56" s="67">
        <f>IF(A55&lt;$B$38,$B41,0)</f>
        <v>14375</v>
      </c>
      <c r="D56" s="59">
        <f>F55*B37/$B$39</f>
        <v>4278.5385721642424</v>
      </c>
      <c r="E56" s="67">
        <f t="shared" si="2"/>
        <v>10096.461427835759</v>
      </c>
      <c r="F56" s="59">
        <f t="shared" si="3"/>
        <v>145204.25434909691</v>
      </c>
      <c r="G56" s="70">
        <f>IF(A55&lt;$B$38,SUM($C$45:C56)+F56,0)</f>
        <v>317704.25434909691</v>
      </c>
      <c r="H56" s="58">
        <v>0</v>
      </c>
      <c r="I56" s="58">
        <v>0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>
      <c r="A57" s="58">
        <f t="shared" si="1"/>
        <v>13</v>
      </c>
      <c r="B57" s="66">
        <f t="shared" si="0"/>
        <v>46550</v>
      </c>
      <c r="C57" s="67">
        <f>IF(A56&lt;$B$38,$B41,0)</f>
        <v>14375</v>
      </c>
      <c r="D57" s="59">
        <f>F56*B37/$B$39</f>
        <v>4000.3808093667317</v>
      </c>
      <c r="E57" s="67">
        <f t="shared" si="2"/>
        <v>10374.619190633268</v>
      </c>
      <c r="F57" s="59">
        <f t="shared" si="3"/>
        <v>134829.63515846364</v>
      </c>
      <c r="G57" s="70">
        <f>IF(A56&lt;$B$38,SUM($C$45:C57)+F57,0)</f>
        <v>321704.63515846361</v>
      </c>
      <c r="H57" s="58">
        <v>0</v>
      </c>
      <c r="I57" s="58">
        <v>0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>
      <c r="A58" s="58">
        <f t="shared" si="1"/>
        <v>14</v>
      </c>
      <c r="B58" s="66">
        <f t="shared" si="0"/>
        <v>46580</v>
      </c>
      <c r="C58" s="67">
        <f>IF(A57&lt;$B$38,$B41,0)</f>
        <v>14375</v>
      </c>
      <c r="D58" s="59">
        <f>F57*B37/$B$39</f>
        <v>3714.5597933039521</v>
      </c>
      <c r="E58" s="67">
        <f t="shared" si="2"/>
        <v>10660.440206696048</v>
      </c>
      <c r="F58" s="59">
        <f t="shared" si="3"/>
        <v>124169.1949517676</v>
      </c>
      <c r="G58" s="70">
        <f>IF(A57&lt;$B$38,SUM($C$45:C58)+F58,0)</f>
        <v>325419.19495176757</v>
      </c>
      <c r="H58" s="58">
        <v>0</v>
      </c>
      <c r="I58" s="58">
        <v>0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>
      <c r="A59" s="58">
        <f t="shared" si="1"/>
        <v>15</v>
      </c>
      <c r="B59" s="66">
        <f t="shared" si="0"/>
        <v>46611</v>
      </c>
      <c r="C59" s="67">
        <f>IF(A58&lt;$B$38,$B41,0)</f>
        <v>14375</v>
      </c>
      <c r="D59" s="59">
        <f>F58*B37/$B$39</f>
        <v>3420.8644011583456</v>
      </c>
      <c r="E59" s="67">
        <f t="shared" si="2"/>
        <v>10954.135598841654</v>
      </c>
      <c r="F59" s="59">
        <f t="shared" si="3"/>
        <v>113215.05935292595</v>
      </c>
      <c r="G59" s="70">
        <f>IF(A58&lt;$B$38,SUM($C$45:C59)+F59,0)</f>
        <v>328840.05935292598</v>
      </c>
      <c r="H59" s="58">
        <v>0</v>
      </c>
      <c r="I59" s="58">
        <v>0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>
      <c r="A60" s="58">
        <f t="shared" si="1"/>
        <v>16</v>
      </c>
      <c r="B60" s="66">
        <f t="shared" si="0"/>
        <v>46642</v>
      </c>
      <c r="C60" s="67">
        <f>IF(A59&lt;$B$38,$B41,0)</f>
        <v>14375</v>
      </c>
      <c r="D60" s="59">
        <f>F59*B37/$B$39</f>
        <v>3119.0776936734928</v>
      </c>
      <c r="E60" s="67">
        <f t="shared" si="2"/>
        <v>11255.922306326507</v>
      </c>
      <c r="F60" s="59">
        <f t="shared" si="3"/>
        <v>101959.13704659944</v>
      </c>
      <c r="G60" s="70">
        <f>IF(A59&lt;$B$38,SUM($C$45:C60)+F60,0)</f>
        <v>331959.13704659941</v>
      </c>
      <c r="H60" s="58">
        <v>0</v>
      </c>
      <c r="I60" s="58">
        <v>0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>
      <c r="A61" s="58">
        <f t="shared" si="1"/>
        <v>17</v>
      </c>
      <c r="B61" s="66">
        <f t="shared" si="0"/>
        <v>46672</v>
      </c>
      <c r="C61" s="67">
        <f>IF(A60&lt;$B$38,$B41,0)</f>
        <v>14375</v>
      </c>
      <c r="D61" s="59">
        <f>F60*B37/$B$39</f>
        <v>2808.9767549110779</v>
      </c>
      <c r="E61" s="67">
        <f t="shared" si="2"/>
        <v>11566.023245088922</v>
      </c>
      <c r="F61" s="59">
        <f t="shared" si="3"/>
        <v>90393.113801510524</v>
      </c>
      <c r="G61" s="70">
        <f>IF(A60&lt;$B$38,SUM($C$45:C61)+F61,0)</f>
        <v>334768.11380151054</v>
      </c>
      <c r="H61" s="58">
        <v>0</v>
      </c>
      <c r="I61" s="58">
        <v>0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>
      <c r="A62" s="58">
        <f t="shared" si="1"/>
        <v>18</v>
      </c>
      <c r="B62" s="66">
        <f t="shared" si="0"/>
        <v>46703</v>
      </c>
      <c r="C62" s="67">
        <f>IF(A61&lt;$B$38,$B41,0)</f>
        <v>14375</v>
      </c>
      <c r="D62" s="59">
        <f>F61*B37/$B$39</f>
        <v>2490.3325275931543</v>
      </c>
      <c r="E62" s="67">
        <f t="shared" si="2"/>
        <v>11884.667472406845</v>
      </c>
      <c r="F62" s="59">
        <f t="shared" si="3"/>
        <v>78508.446329103681</v>
      </c>
      <c r="G62" s="70">
        <f>IF(A61&lt;$B$38,SUM($C$45:C62)+F62,0)</f>
        <v>337258.44632910367</v>
      </c>
      <c r="H62" s="58">
        <v>0</v>
      </c>
      <c r="I62" s="58">
        <v>0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>
      <c r="A63" s="58">
        <f t="shared" si="1"/>
        <v>19</v>
      </c>
      <c r="B63" s="66">
        <f t="shared" si="0"/>
        <v>46733</v>
      </c>
      <c r="C63" s="67">
        <f>IF(A62&lt;$B$38,$B41,0)</f>
        <v>14375</v>
      </c>
      <c r="D63" s="59">
        <f>F62*B37/$B$39</f>
        <v>2162.9096439080863</v>
      </c>
      <c r="E63" s="67">
        <f t="shared" si="2"/>
        <v>12212.090356091914</v>
      </c>
      <c r="F63" s="59">
        <f t="shared" si="3"/>
        <v>66296.35597301177</v>
      </c>
      <c r="G63" s="70">
        <f>IF(A62&lt;$B$38,SUM($C$45:C63)+F63,0)</f>
        <v>339421.35597301176</v>
      </c>
      <c r="H63" s="58">
        <v>0</v>
      </c>
      <c r="I63" s="58">
        <v>0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>
      <c r="A64" s="58">
        <f t="shared" si="1"/>
        <v>20</v>
      </c>
      <c r="B64" s="66">
        <f t="shared" si="0"/>
        <v>46764</v>
      </c>
      <c r="C64" s="67">
        <f>IF(A63&lt;$B$38,$B41,0)</f>
        <v>14375</v>
      </c>
      <c r="D64" s="59">
        <f>F63*B37/$B$39</f>
        <v>1826.4662516551896</v>
      </c>
      <c r="E64" s="67">
        <f t="shared" si="2"/>
        <v>12548.533748344811</v>
      </c>
      <c r="F64" s="59">
        <f t="shared" si="3"/>
        <v>53747.822224666961</v>
      </c>
      <c r="G64" s="70">
        <f>IF(A63&lt;$B$38,SUM($C$45:C64)+F64,0)</f>
        <v>341247.82222466695</v>
      </c>
      <c r="H64" s="58">
        <v>0</v>
      </c>
      <c r="I64" s="58">
        <v>0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29">
      <c r="A65" s="58">
        <f t="shared" si="1"/>
        <v>21</v>
      </c>
      <c r="B65" s="66">
        <f t="shared" si="0"/>
        <v>46795</v>
      </c>
      <c r="C65" s="67">
        <f>IF(A64&lt;$B$38,$B41,0)</f>
        <v>14375</v>
      </c>
      <c r="D65" s="59">
        <f>F64*B37/$B$39</f>
        <v>1480.7538355996501</v>
      </c>
      <c r="E65" s="67">
        <f t="shared" si="2"/>
        <v>12894.246164400351</v>
      </c>
      <c r="F65" s="59">
        <f t="shared" si="3"/>
        <v>40853.576060266612</v>
      </c>
      <c r="G65" s="70">
        <f>IF(A64&lt;$B$38,SUM($C$45:C65)+F65,0)</f>
        <v>342728.57606026658</v>
      </c>
      <c r="H65" s="58">
        <v>0</v>
      </c>
      <c r="I65" s="58">
        <v>0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>
      <c r="A66" s="58">
        <f t="shared" si="1"/>
        <v>22</v>
      </c>
      <c r="B66" s="66">
        <f t="shared" si="0"/>
        <v>46824</v>
      </c>
      <c r="C66" s="67">
        <f>IF(A65&lt;$B$38,$B41,0)</f>
        <v>14375</v>
      </c>
      <c r="D66" s="59">
        <f>F65*B37/$B$39</f>
        <v>1125.5170339057709</v>
      </c>
      <c r="E66" s="67">
        <f t="shared" si="2"/>
        <v>13249.482966094229</v>
      </c>
      <c r="F66" s="59">
        <f t="shared" si="3"/>
        <v>27604.093094172385</v>
      </c>
      <c r="G66" s="70">
        <f>IF(A65&lt;$B$38,SUM($C$45:C66)+F66,0)</f>
        <v>343854.09309417236</v>
      </c>
      <c r="H66" s="58">
        <v>0</v>
      </c>
      <c r="I66" s="58">
        <v>0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5" customHeight="1">
      <c r="A67" s="58">
        <f t="shared" si="1"/>
        <v>23</v>
      </c>
      <c r="B67" s="66">
        <f t="shared" si="0"/>
        <v>46855</v>
      </c>
      <c r="C67" s="67">
        <f>IF(A66&lt;$B$38,$B41,0)</f>
        <v>14375</v>
      </c>
      <c r="D67" s="59">
        <f>F66*B37/$B$39</f>
        <v>760.49344951294609</v>
      </c>
      <c r="E67" s="67">
        <f t="shared" si="2"/>
        <v>13614.506550487054</v>
      </c>
      <c r="F67" s="59">
        <f t="shared" si="3"/>
        <v>13989.586543685331</v>
      </c>
      <c r="G67" s="70">
        <f>IF(A66&lt;$B$38,SUM($C$45:C67)+F67,0)</f>
        <v>344614.58654368535</v>
      </c>
      <c r="H67" s="58">
        <v>0</v>
      </c>
      <c r="I67" s="58">
        <v>0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5" customHeight="1">
      <c r="A68" s="58">
        <f t="shared" si="1"/>
        <v>24</v>
      </c>
      <c r="B68" s="66">
        <f t="shared" si="0"/>
        <v>46885</v>
      </c>
      <c r="C68" s="67">
        <f>IF(A67&lt;$B$38,$B41,0)</f>
        <v>14375</v>
      </c>
      <c r="D68" s="59">
        <f>F67*B37/$B$39</f>
        <v>385.41345631504169</v>
      </c>
      <c r="E68" s="67">
        <f t="shared" si="2"/>
        <v>13989.586543684958</v>
      </c>
      <c r="F68" s="59">
        <f t="shared" si="3"/>
        <v>3.7289282772690058E-10</v>
      </c>
      <c r="G68" s="70">
        <f>IF(A67&lt;$B$38,SUM($C$45:C68)+F68,0)</f>
        <v>345000.00000000035</v>
      </c>
      <c r="H68" s="58">
        <v>0</v>
      </c>
      <c r="I68" s="58">
        <v>0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5" customHeight="1">
      <c r="A69" s="58">
        <f t="shared" si="1"/>
        <v>25</v>
      </c>
      <c r="B69" s="66">
        <f t="shared" si="0"/>
        <v>46916</v>
      </c>
      <c r="C69" s="67">
        <f>IF(A68&lt;$B$38,$B41,0)</f>
        <v>0</v>
      </c>
      <c r="D69" s="59">
        <f>F68*B37/$B$39</f>
        <v>1.0273206654144189E-11</v>
      </c>
      <c r="E69" s="67">
        <f t="shared" si="2"/>
        <v>-1.0273206654144189E-11</v>
      </c>
      <c r="F69" s="59">
        <f t="shared" si="3"/>
        <v>3.8316603438104479E-10</v>
      </c>
      <c r="G69" s="70">
        <f>IF(A68&lt;$B$38,SUM($C$45:C69)+F69,0)</f>
        <v>0</v>
      </c>
      <c r="H69" s="58">
        <v>0</v>
      </c>
      <c r="I69" s="58">
        <v>0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5" customHeight="1">
      <c r="A70" s="58">
        <f t="shared" si="1"/>
        <v>26</v>
      </c>
      <c r="B70" s="66">
        <f t="shared" si="0"/>
        <v>46946</v>
      </c>
      <c r="C70" s="67">
        <f>IF(A69&lt;$B$38,$B41,0)</f>
        <v>0</v>
      </c>
      <c r="D70" s="59">
        <f>F69*B37/$B$39</f>
        <v>1.0556233752310979E-11</v>
      </c>
      <c r="E70" s="67">
        <f t="shared" si="2"/>
        <v>-1.0556233752310979E-11</v>
      </c>
      <c r="F70" s="59">
        <f t="shared" si="3"/>
        <v>3.9372226813335579E-10</v>
      </c>
      <c r="G70" s="70">
        <f>IF(A69&lt;$B$38,SUM($C$45:C70)+F70,0)</f>
        <v>0</v>
      </c>
      <c r="H70" s="58">
        <v>0</v>
      </c>
      <c r="I70" s="58">
        <v>0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5" customHeight="1">
      <c r="A71" s="58">
        <f t="shared" si="1"/>
        <v>27</v>
      </c>
      <c r="B71" s="66">
        <f t="shared" si="0"/>
        <v>46977</v>
      </c>
      <c r="C71" s="67">
        <f>IF(A70&lt;$B$38,$B41,0)</f>
        <v>0</v>
      </c>
      <c r="D71" s="59">
        <f>F70*B37/$B$39</f>
        <v>1.0847058254053249E-11</v>
      </c>
      <c r="E71" s="67">
        <f t="shared" si="2"/>
        <v>-1.0847058254053249E-11</v>
      </c>
      <c r="F71" s="59">
        <f t="shared" si="3"/>
        <v>4.0456932638740902E-10</v>
      </c>
      <c r="G71" s="70">
        <f>IF(A70&lt;$B$38,SUM($C$45:C71)+F71,0)</f>
        <v>0</v>
      </c>
      <c r="H71" s="58">
        <v>0</v>
      </c>
      <c r="I71" s="58">
        <v>0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5" customHeight="1">
      <c r="A72" s="58">
        <f t="shared" si="1"/>
        <v>28</v>
      </c>
      <c r="B72" s="66">
        <f t="shared" si="0"/>
        <v>47008</v>
      </c>
      <c r="C72" s="67">
        <f>IF(A71&lt;$B$38,$B41,0)</f>
        <v>0</v>
      </c>
      <c r="D72" s="59">
        <f>F71*B37/$B39</f>
        <v>1.1145894978032938E-11</v>
      </c>
      <c r="E72" s="67">
        <f t="shared" si="2"/>
        <v>-1.1145894978032938E-11</v>
      </c>
      <c r="F72" s="59">
        <f t="shared" si="3"/>
        <v>4.1571522136544197E-10</v>
      </c>
      <c r="G72" s="70">
        <f>IF(A71&lt;$B$38,SUM($C$45:C72)+F72,0)</f>
        <v>0</v>
      </c>
      <c r="H72" s="58">
        <v>0</v>
      </c>
      <c r="I72" s="58">
        <v>0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5" customHeight="1">
      <c r="A73" s="58">
        <f t="shared" si="1"/>
        <v>29</v>
      </c>
      <c r="B73" s="66">
        <f t="shared" si="0"/>
        <v>47038</v>
      </c>
      <c r="C73" s="67">
        <f>IF(A72&lt;$B$38,$B41,0)</f>
        <v>0</v>
      </c>
      <c r="D73" s="59">
        <f>F72*B37/$B39</f>
        <v>1.1452964661171443E-11</v>
      </c>
      <c r="E73" s="67">
        <f t="shared" si="2"/>
        <v>-1.1452964661171443E-11</v>
      </c>
      <c r="F73" s="59">
        <f t="shared" si="3"/>
        <v>4.2716818602661341E-10</v>
      </c>
      <c r="G73" s="70">
        <f>IF(A72&lt;$B$38,SUM($C$45:C73)+F73,0)</f>
        <v>0</v>
      </c>
      <c r="H73" s="58">
        <v>0</v>
      </c>
      <c r="I73" s="58">
        <v>0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ht="15" customHeight="1">
      <c r="A74" s="58">
        <f t="shared" si="1"/>
        <v>30</v>
      </c>
      <c r="B74" s="66">
        <f t="shared" si="0"/>
        <v>47069</v>
      </c>
      <c r="C74" s="67">
        <f>IF(A73&lt;$B$38,$B41,0)</f>
        <v>0</v>
      </c>
      <c r="D74" s="59">
        <f>F73*B37/$B39</f>
        <v>1.1768494121697822E-11</v>
      </c>
      <c r="E74" s="67">
        <f t="shared" si="2"/>
        <v>-1.1768494121697822E-11</v>
      </c>
      <c r="F74" s="59">
        <f t="shared" si="3"/>
        <v>4.3893668014831124E-10</v>
      </c>
      <c r="G74" s="70">
        <f>IF(A73&lt;$B$38,SUM($C$45:C74)+F74,0)</f>
        <v>0</v>
      </c>
      <c r="H74" s="58">
        <v>0</v>
      </c>
      <c r="I74" s="58">
        <v>0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ht="15" customHeight="1">
      <c r="A75" s="58">
        <f t="shared" si="1"/>
        <v>31</v>
      </c>
      <c r="B75" s="66">
        <f t="shared" si="0"/>
        <v>47099</v>
      </c>
      <c r="C75" s="67">
        <f>IF(A74&lt;$B$38,$B41,0)</f>
        <v>0</v>
      </c>
      <c r="D75" s="59">
        <f>F74*B37/$B39</f>
        <v>1.2092716426688969E-11</v>
      </c>
      <c r="E75" s="67">
        <f t="shared" si="2"/>
        <v>-1.2092716426688969E-11</v>
      </c>
      <c r="F75" s="59">
        <f t="shared" si="3"/>
        <v>4.5102939657500021E-10</v>
      </c>
      <c r="G75" s="70">
        <f>IF(A74&lt;$B$38,SUM($C$45:C75)+F75,0)</f>
        <v>0</v>
      </c>
      <c r="H75" s="58">
        <v>0</v>
      </c>
      <c r="I75" s="58">
        <v>0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29" ht="15" customHeight="1">
      <c r="A76" s="58">
        <f t="shared" si="1"/>
        <v>32</v>
      </c>
      <c r="B76" s="66">
        <f t="shared" si="0"/>
        <v>47130</v>
      </c>
      <c r="C76" s="67">
        <f>IF(A75&lt;$B$38,$B41,0)</f>
        <v>0</v>
      </c>
      <c r="D76" s="59">
        <f>F75*B37/$B$39</f>
        <v>1.2425871064225533E-11</v>
      </c>
      <c r="E76" s="67">
        <f t="shared" si="2"/>
        <v>-1.2425871064225533E-11</v>
      </c>
      <c r="F76" s="59">
        <f t="shared" si="3"/>
        <v>4.6345526763922575E-10</v>
      </c>
      <c r="G76" s="70">
        <f>IF(A75&lt;$B$38,SUM($C$45:C76)+F76,0)</f>
        <v>0</v>
      </c>
      <c r="H76" s="58">
        <v>0</v>
      </c>
      <c r="I76" s="58">
        <v>0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5" customHeight="1">
      <c r="A77" s="58">
        <f t="shared" si="1"/>
        <v>33</v>
      </c>
      <c r="B77" s="66">
        <f t="shared" si="0"/>
        <v>47161</v>
      </c>
      <c r="C77" s="67">
        <f>IF(A76&lt;$B$38,$B41,0)</f>
        <v>0</v>
      </c>
      <c r="D77" s="59">
        <f>F76*B37/$B$39</f>
        <v>1.2768204120290721E-11</v>
      </c>
      <c r="E77" s="67">
        <f t="shared" si="2"/>
        <v>-1.2768204120290721E-11</v>
      </c>
      <c r="F77" s="59">
        <f t="shared" si="3"/>
        <v>4.7622347175951644E-10</v>
      </c>
      <c r="G77" s="70">
        <f>IF(A76&lt;$B$38,SUM($C$45:C77)+F77,0)</f>
        <v>0</v>
      </c>
      <c r="H77" s="58">
        <v>0</v>
      </c>
      <c r="I77" s="58">
        <v>0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ht="15" customHeight="1">
      <c r="A78" s="58">
        <f t="shared" si="1"/>
        <v>34</v>
      </c>
      <c r="B78" s="66">
        <f t="shared" si="0"/>
        <v>47189</v>
      </c>
      <c r="C78" s="67">
        <f>IF(A77&lt;$B$38,$B41,0)</f>
        <v>0</v>
      </c>
      <c r="D78" s="59">
        <f>F77*B37/$B$39</f>
        <v>1.3119968460542684E-11</v>
      </c>
      <c r="E78" s="67">
        <f t="shared" si="2"/>
        <v>-1.3119968460542684E-11</v>
      </c>
      <c r="F78" s="59">
        <f t="shared" si="3"/>
        <v>4.8934344022005911E-10</v>
      </c>
      <c r="G78" s="70">
        <f>IF(A77&lt;$B$38,SUM($C$45:C78)+F78,0)</f>
        <v>0</v>
      </c>
      <c r="H78" s="58">
        <v>0</v>
      </c>
      <c r="I78" s="58">
        <v>0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ht="15" customHeight="1">
      <c r="A79" s="58">
        <f t="shared" si="1"/>
        <v>35</v>
      </c>
      <c r="B79" s="66">
        <f t="shared" si="0"/>
        <v>47220</v>
      </c>
      <c r="C79" s="67">
        <f>IF(A78&lt;$B$38,$B41,0)</f>
        <v>0</v>
      </c>
      <c r="D79" s="59">
        <f>F78*B37/$B$39</f>
        <v>1.3481423917094726E-11</v>
      </c>
      <c r="E79" s="67">
        <f t="shared" si="2"/>
        <v>-1.3481423917094726E-11</v>
      </c>
      <c r="F79" s="59">
        <f t="shared" si="3"/>
        <v>5.0282486413715383E-10</v>
      </c>
      <c r="G79" s="70">
        <f>IF(A78&lt;$B$38,SUM($C$45:C79)+F79,0)</f>
        <v>0</v>
      </c>
      <c r="H79" s="58">
        <v>0</v>
      </c>
      <c r="I79" s="58">
        <v>0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ht="15" customHeight="1">
      <c r="A80" s="58">
        <f t="shared" si="1"/>
        <v>36</v>
      </c>
      <c r="B80" s="66">
        <f t="shared" si="0"/>
        <v>47250</v>
      </c>
      <c r="C80" s="67">
        <f>IF(A79&lt;$B$38,$B41,0)</f>
        <v>0</v>
      </c>
      <c r="D80" s="59">
        <f>F79*B37/$B$39</f>
        <v>1.3852837480441318E-11</v>
      </c>
      <c r="E80" s="67">
        <f t="shared" si="2"/>
        <v>-1.3852837480441318E-11</v>
      </c>
      <c r="F80" s="59">
        <f t="shared" si="3"/>
        <v>5.1667770161759512E-10</v>
      </c>
      <c r="G80" s="70">
        <f>IF(A79&lt;$B$38,SUM($C$45:C80)+F80,0)</f>
        <v>0</v>
      </c>
      <c r="H80" s="58">
        <v>0</v>
      </c>
      <c r="I80" s="58">
        <v>0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ht="15" customHeight="1">
      <c r="A81" s="58">
        <f t="shared" si="1"/>
        <v>37</v>
      </c>
      <c r="B81" s="66">
        <f t="shared" si="0"/>
        <v>47281</v>
      </c>
      <c r="C81" s="67">
        <f>IF(A80&lt;$B$38,$B41,0)</f>
        <v>0</v>
      </c>
      <c r="D81" s="59">
        <f>F80*B37/$B$39</f>
        <v>1.4234483496671684E-11</v>
      </c>
      <c r="E81" s="67">
        <f t="shared" si="2"/>
        <v>-1.4234483496671684E-11</v>
      </c>
      <c r="F81" s="59">
        <f t="shared" si="3"/>
        <v>5.3091218511426683E-10</v>
      </c>
      <c r="G81" s="70">
        <f>IF(A80&lt;$B$38,SUM($C$45:C81)+F81,0)</f>
        <v>0</v>
      </c>
      <c r="H81" s="58">
        <v>0</v>
      </c>
      <c r="I81" s="58">
        <v>0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ht="15" customHeight="1">
      <c r="A82" s="58">
        <f t="shared" si="1"/>
        <v>38</v>
      </c>
      <c r="B82" s="66">
        <f t="shared" si="0"/>
        <v>47311</v>
      </c>
      <c r="C82" s="67">
        <f>IF(A81&lt;$B$38,$B41,0)</f>
        <v>0</v>
      </c>
      <c r="D82" s="59">
        <f>F81*B37/$B$39</f>
        <v>1.4626643870116605E-11</v>
      </c>
      <c r="E82" s="67">
        <f t="shared" si="2"/>
        <v>-1.4626643870116605E-11</v>
      </c>
      <c r="F82" s="59">
        <f t="shared" si="3"/>
        <v>5.4553882898438342E-10</v>
      </c>
      <c r="G82" s="70">
        <f>IF(A81&lt;$B$38,SUM($C$45:C82)+F82,0)</f>
        <v>0</v>
      </c>
      <c r="H82" s="58">
        <v>0</v>
      </c>
      <c r="I82" s="58">
        <v>0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ht="15" customHeight="1">
      <c r="A83" s="58">
        <f t="shared" si="1"/>
        <v>39</v>
      </c>
      <c r="B83" s="66">
        <f t="shared" si="0"/>
        <v>47342</v>
      </c>
      <c r="C83" s="67">
        <f>IF(A82&lt;$B$38,$B41,0)</f>
        <v>0</v>
      </c>
      <c r="D83" s="59">
        <f>F82*B37/$B$39</f>
        <v>1.5029608271578163E-11</v>
      </c>
      <c r="E83" s="67">
        <f t="shared" si="2"/>
        <v>-1.5029608271578163E-11</v>
      </c>
      <c r="F83" s="59">
        <f t="shared" si="3"/>
        <v>5.6056843725596164E-10</v>
      </c>
      <c r="G83" s="70">
        <f>IF(A82&lt;$B$38,SUM($C$45:C83)+F83,0)</f>
        <v>0</v>
      </c>
      <c r="H83" s="58">
        <v>0</v>
      </c>
      <c r="I83" s="58">
        <v>0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5" customHeight="1">
      <c r="A84" s="58">
        <f t="shared" si="1"/>
        <v>40</v>
      </c>
      <c r="B84" s="66">
        <f t="shared" si="0"/>
        <v>47373</v>
      </c>
      <c r="C84" s="67">
        <f>IF(A83&lt;$B$38,$B41,0)</f>
        <v>0</v>
      </c>
      <c r="D84" s="59">
        <f>F83*B37/$B$39</f>
        <v>1.5443674352296241E-11</v>
      </c>
      <c r="E84" s="67">
        <f t="shared" si="2"/>
        <v>-1.5443674352296241E-11</v>
      </c>
      <c r="F84" s="59">
        <f t="shared" si="3"/>
        <v>5.7601211160825785E-10</v>
      </c>
      <c r="G84" s="70">
        <f>IF(A83&lt;$B$38,SUM($C$45:C84)+F84,0)</f>
        <v>0</v>
      </c>
      <c r="H84" s="58">
        <v>0</v>
      </c>
      <c r="I84" s="58">
        <v>0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ht="15" customHeight="1">
      <c r="A85" s="58">
        <f t="shared" si="1"/>
        <v>41</v>
      </c>
      <c r="B85" s="66">
        <f t="shared" si="0"/>
        <v>47403</v>
      </c>
      <c r="C85" s="67">
        <f>IF(A84&lt;$B$38,$B41,0)</f>
        <v>0</v>
      </c>
      <c r="D85" s="59">
        <f>F84*B37/$B$39</f>
        <v>1.5869147963809738E-11</v>
      </c>
      <c r="E85" s="67">
        <f t="shared" si="2"/>
        <v>-1.5869147963809738E-11</v>
      </c>
      <c r="F85" s="59">
        <f t="shared" si="3"/>
        <v>5.9188125957206758E-10</v>
      </c>
      <c r="G85" s="70">
        <f>IF(A84&lt;$B$38,SUM($C$45:C85)+F85,0)</f>
        <v>0</v>
      </c>
      <c r="H85" s="58">
        <v>0</v>
      </c>
      <c r="I85" s="58">
        <v>0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ht="15" customHeight="1">
      <c r="A86" s="58">
        <f t="shared" si="1"/>
        <v>42</v>
      </c>
      <c r="B86" s="66">
        <f t="shared" si="0"/>
        <v>47434</v>
      </c>
      <c r="C86" s="67">
        <f>IF(A85&lt;$B$38,$B41,0)</f>
        <v>0</v>
      </c>
      <c r="D86" s="59">
        <f>F85*B37/$B$39</f>
        <v>1.6306343383875063E-11</v>
      </c>
      <c r="E86" s="67">
        <f t="shared" si="2"/>
        <v>-1.6306343383875063E-11</v>
      </c>
      <c r="F86" s="59">
        <f t="shared" si="3"/>
        <v>6.0818760295594264E-10</v>
      </c>
      <c r="G86" s="70">
        <f>IF(A85&lt;$B$38,SUM($C$45:C86)+F86,0)</f>
        <v>0</v>
      </c>
      <c r="H86" s="58">
        <v>0</v>
      </c>
      <c r="I86" s="58">
        <v>0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ht="15" customHeight="1">
      <c r="A87" s="58">
        <f t="shared" si="1"/>
        <v>43</v>
      </c>
      <c r="B87" s="66">
        <f t="shared" si="0"/>
        <v>47464</v>
      </c>
      <c r="C87" s="67">
        <f>IF(A86&lt;$B$38,$B41,0)</f>
        <v>0</v>
      </c>
      <c r="D87" s="59">
        <f>F86*B37/$B$39</f>
        <v>1.6755583548608595E-11</v>
      </c>
      <c r="E87" s="67">
        <f t="shared" si="2"/>
        <v>-1.6755583548608595E-11</v>
      </c>
      <c r="F87" s="59">
        <f t="shared" si="3"/>
        <v>6.249431865045512E-10</v>
      </c>
      <c r="G87" s="70">
        <f>IF(A86&lt;$B$38,SUM($C$45:C87)+F87,0)</f>
        <v>0</v>
      </c>
      <c r="H87" s="58">
        <v>0</v>
      </c>
      <c r="I87" s="58">
        <v>0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ht="15" customHeight="1">
      <c r="A88" s="58">
        <f t="shared" si="1"/>
        <v>44</v>
      </c>
      <c r="B88" s="66">
        <f t="shared" si="0"/>
        <v>47495</v>
      </c>
      <c r="C88" s="67">
        <f>IF(A87&lt;$B$38,$B41,0)</f>
        <v>0</v>
      </c>
      <c r="D88" s="59">
        <f>F87*B37/$B$39</f>
        <v>1.7217200291024734E-11</v>
      </c>
      <c r="E88" s="67">
        <f t="shared" si="2"/>
        <v>-1.7217200291024734E-11</v>
      </c>
      <c r="F88" s="59">
        <f t="shared" si="3"/>
        <v>6.4216038679557589E-10</v>
      </c>
      <c r="G88" s="70">
        <f>IF(A87&lt;$B$38,SUM($C$45:C88)+F88,0)</f>
        <v>0</v>
      </c>
      <c r="H88" s="58">
        <v>0</v>
      </c>
      <c r="I88" s="58">
        <v>0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5" customHeight="1">
      <c r="A89" s="58">
        <f t="shared" si="1"/>
        <v>45</v>
      </c>
      <c r="B89" s="66">
        <f t="shared" si="0"/>
        <v>47526</v>
      </c>
      <c r="C89" s="67">
        <f>IF(A88&lt;$B$38,$B41,0)</f>
        <v>0</v>
      </c>
      <c r="D89" s="59">
        <f>F88*B37/$B$39</f>
        <v>1.7691534586145658E-11</v>
      </c>
      <c r="E89" s="67">
        <f t="shared" si="2"/>
        <v>-1.7691534586145658E-11</v>
      </c>
      <c r="F89" s="59">
        <f t="shared" si="3"/>
        <v>6.5985192138172159E-10</v>
      </c>
      <c r="G89" s="70">
        <f>IF(A88&lt;$B$38,SUM($C$45:C89)+F89,0)</f>
        <v>0</v>
      </c>
      <c r="H89" s="58">
        <v>0</v>
      </c>
      <c r="I89" s="58">
        <v>0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5" customHeight="1">
      <c r="A90" s="58">
        <f t="shared" si="1"/>
        <v>46</v>
      </c>
      <c r="B90" s="66">
        <f t="shared" si="0"/>
        <v>47554</v>
      </c>
      <c r="C90" s="67">
        <f>IF(A89&lt;$B$38,$B41,0)</f>
        <v>0</v>
      </c>
      <c r="D90" s="59">
        <f>F89*B37/$B$39</f>
        <v>1.8178936802863873E-11</v>
      </c>
      <c r="E90" s="67">
        <f t="shared" si="2"/>
        <v>-1.8178936802863873E-11</v>
      </c>
      <c r="F90" s="59">
        <f t="shared" si="3"/>
        <v>6.7803085818458546E-10</v>
      </c>
      <c r="G90" s="70">
        <f>IF(A89&lt;$B$38,SUM($C$45:C90)+F90,0)</f>
        <v>0</v>
      </c>
      <c r="H90" s="58">
        <v>0</v>
      </c>
      <c r="I90" s="58">
        <v>0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ht="15" customHeight="1">
      <c r="A91" s="58">
        <f t="shared" si="1"/>
        <v>47</v>
      </c>
      <c r="B91" s="66">
        <f t="shared" si="0"/>
        <v>47585</v>
      </c>
      <c r="C91" s="67">
        <f>IF(A90&lt;$B$38,$B41,0)</f>
        <v>0</v>
      </c>
      <c r="D91" s="59">
        <f>F90*B37/$B$39</f>
        <v>1.8679766962743548E-11</v>
      </c>
      <c r="E91" s="67">
        <f t="shared" si="2"/>
        <v>-1.8679766962743548E-11</v>
      </c>
      <c r="F91" s="59">
        <f t="shared" si="3"/>
        <v>6.9671062514732899E-10</v>
      </c>
      <c r="G91" s="70">
        <f>IF(A90&lt;$B$38,SUM($C$45:C91)+F91,0)</f>
        <v>0</v>
      </c>
      <c r="H91" s="58">
        <v>0</v>
      </c>
      <c r="I91" s="58">
        <v>0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ht="15" customHeight="1">
      <c r="A92" s="58">
        <f t="shared" si="1"/>
        <v>48</v>
      </c>
      <c r="B92" s="66">
        <f t="shared" si="0"/>
        <v>47615</v>
      </c>
      <c r="C92" s="67">
        <f>IF(A91&lt;$B$38,$B41,0)</f>
        <v>0</v>
      </c>
      <c r="D92" s="59">
        <f>F91*B37/$B$39</f>
        <v>1.9194395005951889E-11</v>
      </c>
      <c r="E92" s="67">
        <f t="shared" si="2"/>
        <v>-1.9194395005951889E-11</v>
      </c>
      <c r="F92" s="59">
        <f t="shared" si="3"/>
        <v>7.1590502015328092E-10</v>
      </c>
      <c r="G92" s="70">
        <f>IF(A91&lt;$B$38,SUM($C$45:C92)+F92,0)</f>
        <v>0</v>
      </c>
      <c r="H92" s="58">
        <v>0</v>
      </c>
      <c r="I92" s="58">
        <v>0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1:29" ht="15" customHeight="1">
      <c r="A93" s="58">
        <f t="shared" si="1"/>
        <v>49</v>
      </c>
      <c r="B93" s="66">
        <f t="shared" si="0"/>
        <v>47646</v>
      </c>
      <c r="C93" s="67">
        <f>IF(A92&lt;$B$38,$B41,0)</f>
        <v>0</v>
      </c>
      <c r="D93" s="59">
        <f>F92*B37/$B$39</f>
        <v>1.9723201064516883E-11</v>
      </c>
      <c r="E93" s="67">
        <f t="shared" si="2"/>
        <v>-1.9723201064516883E-11</v>
      </c>
      <c r="F93" s="59">
        <f t="shared" si="3"/>
        <v>7.3562822121779784E-10</v>
      </c>
      <c r="G93" s="70">
        <f>IF(A92&lt;$B$38,SUM($C$45:C93)+F93,0)</f>
        <v>0</v>
      </c>
      <c r="H93" s="58">
        <v>0</v>
      </c>
      <c r="I93" s="58">
        <v>0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ht="15" customHeight="1">
      <c r="A94" s="58">
        <f t="shared" si="1"/>
        <v>50</v>
      </c>
      <c r="B94" s="66">
        <f t="shared" si="0"/>
        <v>47676</v>
      </c>
      <c r="C94" s="67">
        <f>IF(A93&lt;$B$38,$B41,0)</f>
        <v>0</v>
      </c>
      <c r="D94" s="59">
        <f>F93*B37/$B$39</f>
        <v>2.0266575743113312E-11</v>
      </c>
      <c r="E94" s="67">
        <f t="shared" si="2"/>
        <v>-2.0266575743113312E-11</v>
      </c>
      <c r="F94" s="59">
        <f t="shared" si="3"/>
        <v>7.5589479696091118E-10</v>
      </c>
      <c r="G94" s="70">
        <f>IF(A93&lt;$B$38,SUM($C$45:C94)+F94,0)</f>
        <v>0</v>
      </c>
      <c r="H94" s="58">
        <v>0</v>
      </c>
      <c r="I94" s="58">
        <v>0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ht="15" customHeight="1">
      <c r="A95" s="58">
        <f t="shared" si="1"/>
        <v>51</v>
      </c>
      <c r="B95" s="66">
        <f t="shared" si="0"/>
        <v>47707</v>
      </c>
      <c r="C95" s="67">
        <f>IF(A94&lt;$B$38,$B41,0)</f>
        <v>0</v>
      </c>
      <c r="D95" s="59">
        <f>F94*B37/$B$39</f>
        <v>2.082492040758445E-11</v>
      </c>
      <c r="E95" s="67">
        <f t="shared" si="2"/>
        <v>-2.082492040758445E-11</v>
      </c>
      <c r="F95" s="59">
        <f t="shared" si="3"/>
        <v>7.7671971736849567E-10</v>
      </c>
      <c r="G95" s="70">
        <f>IF(A94&lt;$B$38,SUM($C$45:C95)+F95,0)</f>
        <v>0</v>
      </c>
      <c r="H95" s="58">
        <v>0</v>
      </c>
      <c r="I95" s="58">
        <v>0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ht="15" customHeight="1">
      <c r="A96" s="58">
        <f t="shared" si="1"/>
        <v>52</v>
      </c>
      <c r="B96" s="66">
        <f t="shared" si="0"/>
        <v>47738</v>
      </c>
      <c r="C96" s="67">
        <f>IF(A95&lt;$B$38,$B41,0)</f>
        <v>0</v>
      </c>
      <c r="D96" s="59">
        <f>F95*B37/$B$39</f>
        <v>2.1398647481412495E-11</v>
      </c>
      <c r="E96" s="67">
        <f t="shared" si="2"/>
        <v>-2.1398647481412495E-11</v>
      </c>
      <c r="F96" s="59">
        <f t="shared" si="3"/>
        <v>7.9811836484990817E-10</v>
      </c>
      <c r="G96" s="70">
        <f>IF(A95&lt;$B$38,SUM($C$45:C96)+F96,0)</f>
        <v>0</v>
      </c>
      <c r="H96" s="58">
        <v>0</v>
      </c>
      <c r="I96" s="58">
        <v>0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5" customHeight="1">
      <c r="A97" s="58">
        <f t="shared" si="1"/>
        <v>53</v>
      </c>
      <c r="B97" s="66">
        <f t="shared" si="0"/>
        <v>47768</v>
      </c>
      <c r="C97" s="67">
        <f>IF(A96&lt;$B$38,$B41,0)</f>
        <v>0</v>
      </c>
      <c r="D97" s="59">
        <f>F96*B37/$B$39</f>
        <v>2.198818075035682E-11</v>
      </c>
      <c r="E97" s="67">
        <f t="shared" si="2"/>
        <v>-2.198818075035682E-11</v>
      </c>
      <c r="F97" s="59">
        <f t="shared" si="3"/>
        <v>8.20106545600265E-10</v>
      </c>
      <c r="G97" s="70">
        <f>IF(A96&lt;$B$38,SUM($C$45:C97)+F97,0)</f>
        <v>0</v>
      </c>
      <c r="H97" s="58">
        <v>0</v>
      </c>
      <c r="I97" s="58">
        <v>0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5" customHeight="1">
      <c r="A98" s="58">
        <f t="shared" si="1"/>
        <v>54</v>
      </c>
      <c r="B98" s="66">
        <f t="shared" si="0"/>
        <v>47799</v>
      </c>
      <c r="C98" s="67">
        <f>IF(A97&lt;$B$38,$B41,0)</f>
        <v>0</v>
      </c>
      <c r="D98" s="59">
        <f>F97*B37/$B$39</f>
        <v>2.2593955675484979E-11</v>
      </c>
      <c r="E98" s="67">
        <f t="shared" si="2"/>
        <v>-2.2593955675484979E-11</v>
      </c>
      <c r="F98" s="59">
        <f t="shared" si="3"/>
        <v>8.4270050127574996E-10</v>
      </c>
      <c r="G98" s="70">
        <f>IF(A97&lt;$B$38,SUM($C$45:C98)+F98,0)</f>
        <v>0</v>
      </c>
      <c r="H98" s="58">
        <v>0</v>
      </c>
      <c r="I98" s="58">
        <v>0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5" customHeight="1">
      <c r="A99" s="58">
        <f t="shared" si="1"/>
        <v>55</v>
      </c>
      <c r="B99" s="66">
        <f t="shared" si="0"/>
        <v>47829</v>
      </c>
      <c r="C99" s="67">
        <f>IF(A98&lt;$B$38,$B41,0)</f>
        <v>0</v>
      </c>
      <c r="D99" s="59">
        <f>F98*B37/$B$39</f>
        <v>2.3216419714827739E-11</v>
      </c>
      <c r="E99" s="67">
        <f t="shared" si="2"/>
        <v>-2.3216419714827739E-11</v>
      </c>
      <c r="F99" s="59">
        <f t="shared" si="3"/>
        <v>8.6591692099057771E-10</v>
      </c>
      <c r="G99" s="70">
        <f>IF(A98&lt;$B$38,SUM($C$45:C99)+F99,0)</f>
        <v>0</v>
      </c>
      <c r="H99" s="58">
        <v>0</v>
      </c>
      <c r="I99" s="58">
        <v>0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ht="15" customHeight="1">
      <c r="A100" s="58">
        <f t="shared" si="1"/>
        <v>56</v>
      </c>
      <c r="B100" s="66">
        <f t="shared" si="0"/>
        <v>47860</v>
      </c>
      <c r="C100" s="67">
        <f>IF(A99&lt;$B$38,$B41,0)</f>
        <v>0</v>
      </c>
      <c r="D100" s="59">
        <f>F99*B37/$B$39</f>
        <v>2.3856032653895718E-11</v>
      </c>
      <c r="E100" s="67">
        <f t="shared" si="2"/>
        <v>-2.3856032653895718E-11</v>
      </c>
      <c r="F100" s="59">
        <f t="shared" si="3"/>
        <v>8.8977295364447344E-10</v>
      </c>
      <c r="G100" s="70">
        <f>IF(A99&lt;$B$38,SUM($C$45:C100)+F100,0)</f>
        <v>0</v>
      </c>
      <c r="H100" s="58">
        <v>0</v>
      </c>
      <c r="I100" s="58">
        <v>0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15" customHeight="1">
      <c r="A101" s="58">
        <f t="shared" si="1"/>
        <v>57</v>
      </c>
      <c r="B101" s="66">
        <f t="shared" si="0"/>
        <v>47891</v>
      </c>
      <c r="C101" s="67">
        <f>IF(A100&lt;$B$38,$B41,0)</f>
        <v>0</v>
      </c>
      <c r="D101" s="59">
        <f>F100*B37/$B$39</f>
        <v>2.4513266945301755E-11</v>
      </c>
      <c r="E101" s="67">
        <f t="shared" si="2"/>
        <v>-2.4513266945301755E-11</v>
      </c>
      <c r="F101" s="59">
        <f t="shared" si="3"/>
        <v>9.1428622058977519E-10</v>
      </c>
      <c r="G101" s="70">
        <f>IF(A100&lt;$B$38,SUM($C$45:C101)+F101,0)</f>
        <v>0</v>
      </c>
      <c r="H101" s="58">
        <v>0</v>
      </c>
      <c r="I101" s="58">
        <v>0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ht="15" customHeight="1">
      <c r="A102" s="58">
        <f t="shared" si="1"/>
        <v>58</v>
      </c>
      <c r="B102" s="66">
        <f t="shared" si="0"/>
        <v>47919</v>
      </c>
      <c r="C102" s="67">
        <f>IF(A101&lt;$B$38,$B41,0)</f>
        <v>0</v>
      </c>
      <c r="D102" s="59">
        <f>F101*B37/$B$39</f>
        <v>2.5188608057739889E-11</v>
      </c>
      <c r="E102" s="67">
        <f t="shared" si="2"/>
        <v>-2.5188608057739889E-11</v>
      </c>
      <c r="F102" s="59">
        <f t="shared" si="3"/>
        <v>9.3947482864751511E-10</v>
      </c>
      <c r="G102" s="70">
        <f>IF(A101&lt;$B$38,SUM($C$45:C102)+F102,0)</f>
        <v>0</v>
      </c>
      <c r="H102" s="58">
        <v>0</v>
      </c>
      <c r="I102" s="58">
        <v>0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5" customHeight="1">
      <c r="A103" s="58">
        <f t="shared" si="1"/>
        <v>59</v>
      </c>
      <c r="B103" s="66">
        <f t="shared" si="0"/>
        <v>47950</v>
      </c>
      <c r="C103" s="67">
        <f>IF(A102&lt;$B$38,$B41,0)</f>
        <v>0</v>
      </c>
      <c r="D103" s="59">
        <f>F102*B37/$B$39</f>
        <v>2.5882554834578728E-11</v>
      </c>
      <c r="E103" s="67">
        <f t="shared" si="2"/>
        <v>-2.5882554834578728E-11</v>
      </c>
      <c r="F103" s="59">
        <f t="shared" si="3"/>
        <v>9.653573834820939E-10</v>
      </c>
      <c r="G103" s="70">
        <f>IF(A102&lt;$B$38,SUM($C$45:C103)+F103,0)</f>
        <v>0</v>
      </c>
      <c r="H103" s="58">
        <v>0</v>
      </c>
      <c r="I103" s="58">
        <v>0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ht="15" customHeight="1">
      <c r="A104" s="58">
        <f t="shared" si="1"/>
        <v>60</v>
      </c>
      <c r="B104" s="66">
        <f t="shared" si="0"/>
        <v>47980</v>
      </c>
      <c r="C104" s="67">
        <f>IF(A103&lt;$B$38,$B41,0)</f>
        <v>0</v>
      </c>
      <c r="D104" s="59">
        <f>F103*B37/$B$39</f>
        <v>2.6595619862334061E-11</v>
      </c>
      <c r="E104" s="67">
        <f t="shared" si="2"/>
        <v>-2.6595619862334061E-11</v>
      </c>
      <c r="F104" s="59">
        <f t="shared" si="3"/>
        <v>9.9195300334442791E-10</v>
      </c>
      <c r="G104" s="70">
        <f>IF(A103&lt;$B$38,SUM($C$45:C104)+F104,0)</f>
        <v>0</v>
      </c>
      <c r="H104" s="58">
        <v>0</v>
      </c>
      <c r="I104" s="58">
        <v>0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ht="15" customHeight="1">
      <c r="A105" s="58">
        <f t="shared" si="1"/>
        <v>61</v>
      </c>
      <c r="B105" s="66">
        <f t="shared" si="0"/>
        <v>48011</v>
      </c>
      <c r="C105" s="67">
        <f>IF(A104&lt;$B$38,$B41,0)</f>
        <v>0</v>
      </c>
      <c r="D105" s="59">
        <f>F104*B37/$B$39</f>
        <v>2.7328329849292894E-11</v>
      </c>
      <c r="E105" s="67">
        <f t="shared" si="2"/>
        <v>-2.7328329849292894E-11</v>
      </c>
      <c r="F105" s="59">
        <f t="shared" si="3"/>
        <v>1.0192813331937207E-9</v>
      </c>
      <c r="G105" s="70">
        <f>IF(A104&lt;$B$38,SUM($C$45:C105)+F105,0)</f>
        <v>0</v>
      </c>
      <c r="H105" s="65">
        <v>0</v>
      </c>
      <c r="I105" s="65">
        <v>0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5" customHeight="1">
      <c r="A106" s="58">
        <f t="shared" si="1"/>
        <v>62</v>
      </c>
      <c r="B106" s="66">
        <f t="shared" si="0"/>
        <v>48041</v>
      </c>
      <c r="C106" s="67">
        <f>IF(A105&lt;$B$38,$B41,0)</f>
        <v>0</v>
      </c>
      <c r="D106" s="59">
        <f>F105*B37/$B$39</f>
        <v>2.808122601456861E-11</v>
      </c>
      <c r="E106" s="67">
        <f t="shared" si="2"/>
        <v>-2.808122601456861E-11</v>
      </c>
      <c r="F106" s="59">
        <f t="shared" si="3"/>
        <v>1.0473625592082893E-9</v>
      </c>
      <c r="G106" s="70">
        <f>IF(A105&lt;$B$38,SUM($C$45:C106)+F106,0)</f>
        <v>0</v>
      </c>
      <c r="H106" s="65">
        <v>0</v>
      </c>
      <c r="I106" s="65">
        <v>0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5" customHeight="1">
      <c r="A107" s="58">
        <f t="shared" si="1"/>
        <v>63</v>
      </c>
      <c r="B107" s="66">
        <f t="shared" si="0"/>
        <v>48072</v>
      </c>
      <c r="C107" s="67">
        <f>IF(A106&lt;$B$38,$B41,0)</f>
        <v>0</v>
      </c>
      <c r="D107" s="59">
        <f>F106*B37/B39</f>
        <v>2.8854864487874601E-11</v>
      </c>
      <c r="E107" s="67">
        <f t="shared" si="2"/>
        <v>-2.8854864487874601E-11</v>
      </c>
      <c r="F107" s="59">
        <f t="shared" si="3"/>
        <v>1.0762174236961638E-9</v>
      </c>
      <c r="G107" s="70">
        <f>IF(A106&lt;$B$38,SUM($C$45:C107)+F107,0)</f>
        <v>0</v>
      </c>
      <c r="H107" s="65">
        <v>0</v>
      </c>
      <c r="I107" s="65">
        <v>0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ht="15" customHeight="1">
      <c r="A108" s="58">
        <f t="shared" si="1"/>
        <v>64</v>
      </c>
      <c r="B108" s="66">
        <f t="shared" si="0"/>
        <v>48103</v>
      </c>
      <c r="C108" s="67">
        <f>IF(A107&lt;$B$38,$B41,0)</f>
        <v>0</v>
      </c>
      <c r="D108" s="59">
        <f>F107*B37/$B$39</f>
        <v>2.9649816720311643E-11</v>
      </c>
      <c r="E108" s="67">
        <f t="shared" si="2"/>
        <v>-2.9649816720311643E-11</v>
      </c>
      <c r="F108" s="59">
        <f t="shared" si="3"/>
        <v>1.1058672404164754E-9</v>
      </c>
      <c r="G108" s="70">
        <f>IF(A107&lt;$B$38,SUM($C$45:C108)+F108,0)</f>
        <v>0</v>
      </c>
      <c r="H108" s="65">
        <v>0</v>
      </c>
      <c r="I108" s="65">
        <v>0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ht="15" customHeight="1">
      <c r="A109" s="58">
        <f t="shared" si="1"/>
        <v>65</v>
      </c>
      <c r="B109" s="66">
        <f t="shared" si="0"/>
        <v>48133</v>
      </c>
      <c r="C109" s="67">
        <f>IF(A108&lt;$B$38,$B41,0)</f>
        <v>0</v>
      </c>
      <c r="D109" s="59">
        <f>F108*B37/$B$39</f>
        <v>3.0466669906472533E-11</v>
      </c>
      <c r="E109" s="67">
        <f t="shared" si="2"/>
        <v>-3.0466669906472533E-11</v>
      </c>
      <c r="F109" s="59">
        <f t="shared" si="3"/>
        <v>1.1363339103229481E-9</v>
      </c>
      <c r="G109" s="70">
        <f>IF(A108&lt;$B$38,SUM($C$45:C109)+F109,0)</f>
        <v>0</v>
      </c>
      <c r="H109" s="65">
        <v>0</v>
      </c>
      <c r="I109" s="65">
        <v>0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ht="15" customHeight="1">
      <c r="A110" s="58">
        <f t="shared" si="1"/>
        <v>66</v>
      </c>
      <c r="B110" s="66">
        <f t="shared" ref="B110:B122" si="4">IF($B$39=12,EDATE(B109, 1),IF($B$39=52, B109+7,IF($B$39=26, B109+14,+IF($B$39=24, B109+15,B109+ROUND(365/$B$39, 0)))))</f>
        <v>48164</v>
      </c>
      <c r="C110" s="67">
        <f>IF(A109&lt;$B$38,$B41,0)</f>
        <v>0</v>
      </c>
      <c r="D110" s="59">
        <f>F109*B37/$B$39</f>
        <v>3.130602741817564E-11</v>
      </c>
      <c r="E110" s="67">
        <f t="shared" si="2"/>
        <v>-3.130602741817564E-11</v>
      </c>
      <c r="F110" s="59">
        <f t="shared" si="3"/>
        <v>1.1676399377411237E-9</v>
      </c>
      <c r="G110" s="70">
        <f>IF(A109&lt;$B$38,SUM($C$45:C110)+F110,0)</f>
        <v>0</v>
      </c>
      <c r="H110" s="65">
        <v>0</v>
      </c>
      <c r="I110" s="65">
        <v>0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5" customHeight="1">
      <c r="A111" s="58">
        <f t="shared" ref="A111:A122" si="5">A110+1</f>
        <v>67</v>
      </c>
      <c r="B111" s="66">
        <f t="shared" si="4"/>
        <v>48194</v>
      </c>
      <c r="C111" s="67">
        <f>IF(A110&lt;$B$38,$B41,0)</f>
        <v>0</v>
      </c>
      <c r="D111" s="59">
        <f>F110*B37/$B$39</f>
        <v>3.2168509250147924E-11</v>
      </c>
      <c r="E111" s="67">
        <f t="shared" ref="E111:E122" si="6">C111-D111</f>
        <v>-3.2168509250147924E-11</v>
      </c>
      <c r="F111" s="59">
        <f t="shared" ref="F111:F122" si="7">F110-E111</f>
        <v>1.1998084469912715E-9</v>
      </c>
      <c r="G111" s="70">
        <f>IF(A110&lt;$B$38,SUM($C$45:C111)+F111,0)</f>
        <v>0</v>
      </c>
      <c r="H111" s="65">
        <v>0</v>
      </c>
      <c r="I111" s="65">
        <v>0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5" customHeight="1">
      <c r="A112" s="58">
        <f t="shared" si="5"/>
        <v>68</v>
      </c>
      <c r="B112" s="66">
        <f t="shared" si="4"/>
        <v>48225</v>
      </c>
      <c r="C112" s="67">
        <f>IF(A111&lt;$B$38,$B41,0)</f>
        <v>0</v>
      </c>
      <c r="D112" s="59">
        <f>F111*B37/$B$39</f>
        <v>3.3054752477986435E-11</v>
      </c>
      <c r="E112" s="67">
        <f t="shared" si="6"/>
        <v>-3.3054752477986435E-11</v>
      </c>
      <c r="F112" s="59">
        <f t="shared" si="7"/>
        <v>1.232863199469258E-9</v>
      </c>
      <c r="G112" s="70">
        <f>IF(A111&lt;$B$38,SUM($C$45:C112)+F112,0)</f>
        <v>0</v>
      </c>
      <c r="H112" s="65">
        <v>0</v>
      </c>
      <c r="I112" s="65">
        <v>0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5" customHeight="1">
      <c r="A113" s="58">
        <f t="shared" si="5"/>
        <v>69</v>
      </c>
      <c r="B113" s="66">
        <f t="shared" si="4"/>
        <v>48256</v>
      </c>
      <c r="C113" s="67">
        <f>IF(A112&lt;$B$38,$B41,0)</f>
        <v>0</v>
      </c>
      <c r="D113" s="59">
        <f>F112*B37/$B$39</f>
        <v>3.3965411728736737E-11</v>
      </c>
      <c r="E113" s="67">
        <f t="shared" si="6"/>
        <v>-3.3965411728736737E-11</v>
      </c>
      <c r="F113" s="59">
        <f t="shared" si="7"/>
        <v>1.2668286111979948E-9</v>
      </c>
      <c r="G113" s="70">
        <f>IF(A112&lt;$B$38,SUM($C$45:C113)+F113,0)</f>
        <v>0</v>
      </c>
      <c r="H113" s="65">
        <v>0</v>
      </c>
      <c r="I113" s="65">
        <v>0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ht="15" customHeight="1">
      <c r="A114" s="58">
        <f t="shared" si="5"/>
        <v>70</v>
      </c>
      <c r="B114" s="66">
        <f t="shared" si="4"/>
        <v>48285</v>
      </c>
      <c r="C114" s="67">
        <f>IF(A113&lt;$B$38,$B41,0)</f>
        <v>0</v>
      </c>
      <c r="D114" s="59">
        <f>F113*B37/$B$39</f>
        <v>3.4901159664435723E-11</v>
      </c>
      <c r="E114" s="67">
        <f t="shared" si="6"/>
        <v>-3.4901159664435723E-11</v>
      </c>
      <c r="F114" s="59">
        <f t="shared" si="7"/>
        <v>1.3017297708624305E-9</v>
      </c>
      <c r="G114" s="70">
        <f>IF(A113&lt;$B$38,SUM($C$45:C114)+F114,0)</f>
        <v>0</v>
      </c>
      <c r="H114" s="65">
        <v>0</v>
      </c>
      <c r="I114" s="65">
        <v>0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5" customHeight="1">
      <c r="A115" s="58">
        <f t="shared" si="5"/>
        <v>71</v>
      </c>
      <c r="B115" s="66">
        <f t="shared" si="4"/>
        <v>48316</v>
      </c>
      <c r="C115" s="67">
        <f>IF(A114&lt;$B$38,$B41,0)</f>
        <v>0</v>
      </c>
      <c r="D115" s="59">
        <f>F114*B37/$B$39</f>
        <v>3.5862687478976109E-11</v>
      </c>
      <c r="E115" s="67">
        <f t="shared" si="6"/>
        <v>-3.5862687478976109E-11</v>
      </c>
      <c r="F115" s="59">
        <f t="shared" si="7"/>
        <v>1.3375924583414066E-9</v>
      </c>
      <c r="G115" s="70">
        <f>IF(A114&lt;$B$38,SUM($C$45:C115)+F115,0)</f>
        <v>0</v>
      </c>
      <c r="H115" s="65">
        <v>0</v>
      </c>
      <c r="I115" s="65">
        <v>0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ht="15" customHeight="1">
      <c r="A116" s="58">
        <f t="shared" si="5"/>
        <v>72</v>
      </c>
      <c r="B116" s="66">
        <f t="shared" si="4"/>
        <v>48346</v>
      </c>
      <c r="C116" s="67">
        <f>IF(A115&lt;$B$38,$B41,0)</f>
        <v>0</v>
      </c>
      <c r="D116" s="59">
        <f>F115*B37/$B$39</f>
        <v>3.6850705408659483E-11</v>
      </c>
      <c r="E116" s="67">
        <f t="shared" si="6"/>
        <v>-3.6850705408659483E-11</v>
      </c>
      <c r="F116" s="59">
        <f t="shared" si="7"/>
        <v>1.3744431637500662E-9</v>
      </c>
      <c r="G116" s="70">
        <f>IF(A115&lt;$B$38,SUM($C$45:C116)+F116,0)</f>
        <v>0</v>
      </c>
      <c r="H116" s="65">
        <v>0</v>
      </c>
      <c r="I116" s="65">
        <v>0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ht="15" customHeight="1">
      <c r="A117" s="58">
        <f t="shared" si="5"/>
        <v>73</v>
      </c>
      <c r="B117" s="66">
        <f t="shared" si="4"/>
        <v>48377</v>
      </c>
      <c r="C117" s="67">
        <f>IF(A116&lt;$B$38,$B41,0)</f>
        <v>0</v>
      </c>
      <c r="D117" s="59">
        <f>F116*B37/$B$39</f>
        <v>3.786594325681517E-11</v>
      </c>
      <c r="E117" s="67">
        <f t="shared" si="6"/>
        <v>-3.786594325681517E-11</v>
      </c>
      <c r="F117" s="59">
        <f t="shared" si="7"/>
        <v>1.4123091070068813E-9</v>
      </c>
      <c r="G117" s="70">
        <f>IF(A116&lt;$B$38,SUM($C$45:C117)+F117,0)</f>
        <v>0</v>
      </c>
      <c r="H117" s="65">
        <v>0</v>
      </c>
      <c r="I117" s="65">
        <v>0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5" customHeight="1">
      <c r="A118" s="58">
        <f t="shared" si="5"/>
        <v>74</v>
      </c>
      <c r="B118" s="66">
        <f t="shared" si="4"/>
        <v>48407</v>
      </c>
      <c r="C118" s="67">
        <f>IF(A117&lt;$B$38,$B41,0)</f>
        <v>0</v>
      </c>
      <c r="D118" s="59">
        <f>F117*B37/$B$39</f>
        <v>3.8909150932872315E-11</v>
      </c>
      <c r="E118" s="67">
        <f t="shared" si="6"/>
        <v>-3.8909150932872315E-11</v>
      </c>
      <c r="F118" s="59">
        <f t="shared" si="7"/>
        <v>1.4512182579397536E-9</v>
      </c>
      <c r="G118" s="70">
        <f>IF(A117&lt;$B$38,SUM($C$45:C118)+F118,0)</f>
        <v>0</v>
      </c>
      <c r="H118" s="65">
        <v>0</v>
      </c>
      <c r="I118" s="65">
        <v>0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5" customHeight="1">
      <c r="A119" s="58">
        <f t="shared" si="5"/>
        <v>75</v>
      </c>
      <c r="B119" s="66">
        <f t="shared" si="4"/>
        <v>48438</v>
      </c>
      <c r="C119" s="67">
        <f>IF(A118&lt;$B$38,$B41,0)</f>
        <v>0</v>
      </c>
      <c r="D119" s="59">
        <f>F118*B37/$B$39</f>
        <v>3.9981099006283466E-11</v>
      </c>
      <c r="E119" s="67">
        <f t="shared" si="6"/>
        <v>-3.9981099006283466E-11</v>
      </c>
      <c r="F119" s="59">
        <f t="shared" si="7"/>
        <v>1.4911993569460372E-9</v>
      </c>
      <c r="G119" s="70">
        <f>IF(A118&lt;$B$38,SUM($C$45:C119)+F119,0)</f>
        <v>0</v>
      </c>
      <c r="H119" s="65">
        <v>0</v>
      </c>
      <c r="I119" s="65">
        <v>0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5" customHeight="1">
      <c r="A120" s="58">
        <f t="shared" si="5"/>
        <v>76</v>
      </c>
      <c r="B120" s="66">
        <f t="shared" si="4"/>
        <v>48469</v>
      </c>
      <c r="C120" s="67">
        <f>IF(A119&lt;$B$38,$B41,0)</f>
        <v>0</v>
      </c>
      <c r="D120" s="59">
        <f>F119*B37/$B$39</f>
        <v>4.108257927570866E-11</v>
      </c>
      <c r="E120" s="67">
        <f t="shared" si="6"/>
        <v>-4.108257927570866E-11</v>
      </c>
      <c r="F120" s="59">
        <f t="shared" si="7"/>
        <v>1.5322819362217458E-9</v>
      </c>
      <c r="G120" s="70">
        <f>IF(A119&lt;$B$38,SUM($C$45:C120)+F120,0)</f>
        <v>0</v>
      </c>
      <c r="H120" s="65">
        <v>0</v>
      </c>
      <c r="I120" s="65">
        <v>0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ht="15" customHeight="1">
      <c r="A121" s="58">
        <f t="shared" si="5"/>
        <v>77</v>
      </c>
      <c r="B121" s="66">
        <f t="shared" si="4"/>
        <v>48499</v>
      </c>
      <c r="C121" s="67">
        <f>IF(A120&lt;$B$38,$B41,0)</f>
        <v>0</v>
      </c>
      <c r="D121" s="59">
        <f>F120*B37/$B$39</f>
        <v>4.2214405353880693E-11</v>
      </c>
      <c r="E121" s="67">
        <f t="shared" si="6"/>
        <v>-4.2214405353880693E-11</v>
      </c>
      <c r="F121" s="59">
        <f t="shared" si="7"/>
        <v>1.5744963415756266E-9</v>
      </c>
      <c r="G121" s="70">
        <f>IF(A120&lt;$B$38,SUM($C$45:C121)+F121,0)</f>
        <v>0</v>
      </c>
      <c r="H121" s="65">
        <v>0</v>
      </c>
      <c r="I121" s="65">
        <v>0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ht="15" customHeight="1">
      <c r="A122" s="58">
        <f t="shared" si="5"/>
        <v>78</v>
      </c>
      <c r="B122" s="66">
        <f t="shared" si="4"/>
        <v>48530</v>
      </c>
      <c r="C122" s="67">
        <f>IF(A121&lt;$B$38,$B41,0)</f>
        <v>0</v>
      </c>
      <c r="D122" s="59">
        <f>F121*B37/$B$39</f>
        <v>4.3377413268583311E-11</v>
      </c>
      <c r="E122" s="67">
        <f t="shared" si="6"/>
        <v>-4.3377413268583311E-11</v>
      </c>
      <c r="F122" s="59">
        <f t="shared" si="7"/>
        <v>1.6178737548442098E-9</v>
      </c>
      <c r="G122" s="70">
        <f>IF(A121&lt;$B$38,SUM($C$45:C122)+F122,0)</f>
        <v>0</v>
      </c>
      <c r="H122" s="65">
        <v>0</v>
      </c>
      <c r="I122" s="65">
        <v>0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ht="15" customHeight="1">
      <c r="A123" s="21"/>
      <c r="B123" s="21"/>
      <c r="C123" s="19"/>
      <c r="D123" s="20"/>
      <c r="E123" s="20"/>
      <c r="F123" s="19"/>
      <c r="G123" s="19"/>
      <c r="H123" s="19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</sheetData>
  <protectedRanges>
    <protectedRange sqref="B5" name="Range1"/>
  </protectedRanges>
  <dataValidations count="4">
    <dataValidation type="list" allowBlank="1" showInputMessage="1" showErrorMessage="1" sqref="B6 B29" xr:uid="{76F4FBFA-7018-4286-B4FD-4CA929163FA9}">
      <formula1>".005,.01,.015,.02,.025"</formula1>
    </dataValidation>
    <dataValidation allowBlank="1" showInputMessage="1" showErrorMessage="1" sqref="B14 B33" xr:uid="{43DB9EC3-47F3-47C9-8C79-65A8CE99818E}"/>
    <dataValidation type="list" allowBlank="1" showInputMessage="1" showErrorMessage="1" sqref="B10" xr:uid="{E378EA9B-1347-44E4-8F4A-1CF202F92426}">
      <formula1>".01,.02,.03,.04,.05,.06,.07,.08,.09,.10"</formula1>
    </dataValidation>
    <dataValidation type="list" allowBlank="1" showInputMessage="1" showErrorMessage="1" sqref="B32" xr:uid="{95734713-04C6-441D-91B2-8FF94E8D8B70}">
      <formula1>"Weekly,Monthly"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2025-08-20T20:30:35Z</dcterms:created>
  <dcterms:modified xsi:type="dcterms:W3CDTF">2026-05-21T18:13:36Z</dcterms:modified>
  <cp:category/>
  <cp:contentStatus/>
</cp:coreProperties>
</file>